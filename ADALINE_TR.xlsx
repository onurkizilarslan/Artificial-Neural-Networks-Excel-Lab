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ae69e3e7c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llanim" sheetId="1" r:id="R19bc448d89b841d8"/>
    <x:sheet xmlns:r="http://schemas.openxmlformats.org/officeDocument/2006/relationships" name="Parametreler" sheetId="2" r:id="Ra293d12d669b43e9"/>
    <x:sheet xmlns:r="http://schemas.openxmlformats.org/officeDocument/2006/relationships" name="Veri" sheetId="3" r:id="R0db7c747d9464b77"/>
    <x:sheet xmlns:r="http://schemas.openxmlformats.org/officeDocument/2006/relationships" name="Egitim" sheetId="4" r:id="R80bd79b4cc6949c8"/>
    <x:sheet xmlns:r="http://schemas.openxmlformats.org/officeDocument/2006/relationships" name="Analiz" sheetId="5" r:id="R10290b32e58f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9324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9324F"/>
      </x:patternFill>
    </x:fill>
    <x:fill>
      <x:patternFill patternType="solid">
        <x:fgColor rgb="FFEFF3F8"/>
      </x:patternFill>
    </x:fill>
    <x:fill>
      <x:patternFill patternType="solid">
        <x:fgColor rgb="FF167D83"/>
      </x:patternFill>
    </x:fill>
    <x:fill>
      <x:patternFill patternType="solid">
        <x:fgColor rgb="FFFFF1CA"/>
      </x:patternFill>
    </x:fill>
    <x:fill>
      <x:patternFill patternType="solid">
        <x:fgColor rgb="FFE9F5F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2dd888e214738" /><Relationship Type="http://schemas.openxmlformats.org/officeDocument/2006/relationships/theme" Target="/xl/theme/theme1.xml" Id="Racd704a6a5634e99" /><Relationship Type="http://schemas.openxmlformats.org/officeDocument/2006/relationships/sharedStrings" Target="/xl/sharedStrings.xml" Id="Rb56cc5195f654744" /><Relationship Type="http://schemas.openxmlformats.org/officeDocument/2006/relationships/worksheet" Target="/xl/worksheets/sheet1.xml" Id="R19bc448d89b841d8" /><Relationship Type="http://schemas.openxmlformats.org/officeDocument/2006/relationships/worksheet" Target="/xl/worksheets/sheet2.xml" Id="Ra293d12d669b43e9" /><Relationship Type="http://schemas.openxmlformats.org/officeDocument/2006/relationships/worksheet" Target="/xl/worksheets/sheet3.xml" Id="R0db7c747d9464b77" /><Relationship Type="http://schemas.openxmlformats.org/officeDocument/2006/relationships/worksheet" Target="/xl/worksheets/sheet4.xml" Id="R80bd79b4cc6949c8" /><Relationship Type="http://schemas.openxmlformats.org/officeDocument/2006/relationships/worksheet" Target="/xl/worksheets/sheet5.xml" Id="R10290b32e58f44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5cd85a6a1a4274" /><Relationship Type="http://schemas.openxmlformats.org/officeDocument/2006/relationships/chart" Target="/xl/drawings/charts/chart2.xml" Id="Rf650f0e0a62142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MSE / Epoch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MSE (ön güncelleme)</c:v>
          </c:tx>
          <c:marker>
            <c:symbol val="none"/>
          </c:marker>
          <c:cat>
            <c:strRef>
              <c:f>'Analiz'!$A$5:$A$34</c:f>
              <c:strCache>
                <c:ptCount val="0"/>
              </c:strCache>
            </c:strRef>
          </c:cat>
          <c:val>
            <c:numRef>
              <c:f>'Analiz'!$B$5:$B$34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Ağırlıklar / Epoch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Ref>
              <c:f>'Analiz'!$C$5:$C$34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w1</c:v>
          </c:tx>
          <c:marker>
            <c:symbol val="none"/>
          </c:marker>
          <c:cat>
            <c:strRef>
              <c:f>'Analiz'!$A$5:$A$34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'Analiz'!$D$5:$D$34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w2</c:v>
          </c:tx>
          <c:marker>
            <c:symbol val="none"/>
          </c:marker>
          <c:cat>
            <c:strRef>
              <c:f>'Analiz'!$A$5:$A$34</c:f>
              <c:strCache>
                <c:ptCount val="1"/>
                <c:pt idx="0">
                  <c:v>Item 1</c:v>
                </c:pt>
              </c:strCache>
            </c:strRef>
          </c:cat>
          <c:val>
            <c:numLit>
              <c:formatCode>General</c:formatCode>
              <c:ptCount val="0"/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14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5cd85a6a1a4274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50f0e0a621428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592ea57ec2d346b3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2" hidden="0" customWidth="1"/>
  </x:cols>
  <x:sheetData>
    <x:row r="1" ht="36" customHeight="1">
      <x:c r="A1" s="4" t="str">
        <x:v>ADALINE | Etkileşimli Excel Öğrenme Laboratuvarı</x:v>
      </x:c>
      <x:c r="B1" s="4"/>
      <x:c r="C1" s="4"/>
      <x:c r="D1" s="4"/>
      <x:c r="E1" s="4"/>
      <x:c r="F1" s="4"/>
      <x:c r="G1" s="4"/>
      <x:c r="H1" s="4"/>
    </x:row>
    <x:row r="2" ht="36" customHeight="1">
      <x:c r="A2" s="4"/>
      <x:c r="B2" s="4"/>
      <x:c r="C2" s="4"/>
      <x:c r="D2" s="4"/>
      <x:c r="E2" s="4"/>
      <x:c r="F2" s="4"/>
      <x:c r="G2" s="4"/>
      <x:c r="H2" s="4"/>
    </x:row>
    <x:row r="4" ht="40" customHeight="1">
      <x:c r="A4" s="10" t="str">
        <x:v>AMAÇ</x:v>
      </x:c>
      <x:c r="B4" s="14" t="str">
        <x:v>İki girişli ADALINE ağının çevrim içi Widrow–Hoff (LMS) öğrenmesini adım adım izlemek.</x:v>
      </x:c>
    </x:row>
    <x:row r="5" ht="40" customHeight="1">
      <x:c r="A5" s="10" t="str">
        <x:v>1. PARAMETRELER</x:v>
      </x:c>
      <x:c r="B5" s="14" t="str">
        <x:v>Sarı hücrelerde öğrenme oranı, başlangıç ağırlıkları ve bias değerini değiştirin.</x:v>
      </x:c>
    </x:row>
    <x:row r="6" ht="40" customHeight="1">
      <x:c r="A6" s="10" t="str">
        <x:v>2. VERİ</x:v>
      </x:c>
      <x:c r="B6" s="14" t="str">
        <x:v>Bipolar AND için -1 / +1 girişleri ve hedefleri inceleyin; isterseniz değiştirin.</x:v>
      </x:c>
    </x:row>
    <x:row r="7" ht="40" customHeight="1">
      <x:c r="A7" s="10" t="str">
        <x:v>3. EĞİTİM</x:v>
      </x:c>
      <x:c r="B7" s="14" t="str">
        <x:v>Her satır tek bir örnek işlemidir: çıktı, hata ve yeni ağırlıklar formülle hesaplanır.</x:v>
      </x:c>
    </x:row>
    <x:row r="8" ht="40" customHeight="1">
      <x:c r="A8" s="10" t="str">
        <x:v>4. ANALİZ</x:v>
      </x:c>
      <x:c r="B8" s="14" t="str">
        <x:v>Her epoch için ortalama karesel hata (MSE) ve ağırlık değişimlerini izleyin.</x:v>
      </x:c>
    </x:row>
    <x:row r="9" ht="40" customHeight="1">
      <x:c r="A9" s="10" t="str">
        <x:v>ÖNEMLİ</x:v>
      </x:c>
      <x:c r="B9" s="14" t="str">
        <x:v>ADALINE eğitimde eşiklenmiş sınıfı değil, doğrusal çıktıyı ve t-y hatasını kullanır.</x:v>
      </x:c>
    </x:row>
    <x:row r="10" ht="40" customHeight="1">
      <x:c r="A10" s="10" t="str">
        <x:v>GÜNCELLEME</x:v>
      </x:c>
      <x:c r="B10" s="14" t="str">
        <x:v>η çok büyükse öğrenme kararsız olabilir; 0,01–0,10 aralığıyla deneyin.</x:v>
      </x:c>
    </x:row>
    <x:row r="11" ht="40" customHeight="1">
      <x:c r="A11" s="10" t="str">
        <x:v>MODEL SINIRI</x:v>
      </x:c>
      <x:c r="B11" s="14" t="str">
        <x:v>Tek doğrusal nöron XOR gibi doğrusal ayrılamayan problemleri kusursuz sınıflandıramaz.</x:v>
      </x:c>
    </x:row>
    <x:row r="13" ht="29" customHeight="1">
      <x:c r="A13" s="19" t="str">
        <x:v>KAVRAM</x:v>
      </x:c>
      <x:c r="B13" s="19" t="str">
        <x:v>FORMÜL</x:v>
      </x:c>
    </x:row>
    <x:row r="14">
      <x:c r="A14" t="str">
        <x:v>Matematik</x:v>
      </x:c>
      <x:c r="B14" t="str">
        <x:v>y = w1*x1 + w2*x2 + b</x:v>
      </x:c>
    </x:row>
    <x:row r="15">
      <x:c r="A15" t="str">
        <x:v>Hata</x:v>
      </x:c>
      <x:c r="B15" t="str">
        <x:v>e = t - y</x:v>
      </x:c>
    </x:row>
    <x:row r="16">
      <x:c r="A16" t="str">
        <x:v>Maliyet</x:v>
      </x:c>
      <x:c r="B16" t="str">
        <x:v>MSE = (1/N) * SUM(e²)</x:v>
      </x:c>
    </x:row>
    <x:row r="17">
      <x:c r="A17" t="str">
        <x:v>Güncelleme w1</x:v>
      </x:c>
      <x:c r="B17" t="str">
        <x:v>w1_yeni = w1_eski + η * e * x1</x:v>
      </x:c>
    </x:row>
    <x:row r="18">
      <x:c r="A18" t="str">
        <x:v>Güncelleme w2</x:v>
      </x:c>
      <x:c r="B18" t="str">
        <x:v>w2_yeni = w2_eski + η * e * x2</x:v>
      </x:c>
    </x:row>
    <x:row r="19">
      <x:c r="A19" t="str">
        <x:v>Güncelleme b</x:v>
      </x:c>
      <x:c r="B19" t="str">
        <x:v>b_yeni = b_eski + η * e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65" hidden="0" customWidth="1"/>
  </x:cols>
  <x:sheetData>
    <x:row r="1" ht="36" customHeight="1">
      <x:c r="A1" s="4" t="str">
        <x:v>01 | Öğrenme parametreleri</x:v>
      </x:c>
      <x:c r="B1" s="4"/>
      <x:c r="C1" s="4"/>
      <x:c r="D1" s="4"/>
      <x:c r="E1" s="4"/>
      <x:c r="F1" s="4"/>
    </x:row>
    <x:row r="2" ht="36" customHeight="1">
      <x:c r="A2" s="4"/>
      <x:c r="B2" s="4"/>
      <x:c r="C2" s="4"/>
      <x:c r="D2" s="4"/>
      <x:c r="E2" s="4"/>
      <x:c r="F2" s="4"/>
    </x:row>
    <x:row r="4" ht="27" customHeight="1">
      <x:c r="A4" s="9" t="str">
        <x:v>Öğrenme oranı (η)</x:v>
      </x:c>
      <x:c r="B4" s="24" t="n">
        <x:v>0.05</x:v>
      </x:c>
    </x:row>
    <x:row r="5" ht="27" customHeight="1">
      <x:c r="A5" s="9" t="str">
        <x:v>İlk ağırlık w1</x:v>
      </x:c>
      <x:c r="B5" s="24" t="n">
        <x:v>0</x:v>
      </x:c>
    </x:row>
    <x:row r="6" ht="27" customHeight="1">
      <x:c r="A6" s="9" t="str">
        <x:v>İlk ağırlık w2</x:v>
      </x:c>
      <x:c r="B6" s="24" t="n">
        <x:v>0</x:v>
      </x:c>
    </x:row>
    <x:row r="7" ht="27" customHeight="1">
      <x:c r="A7" s="9" t="str">
        <x:v>İlk bias b</x:v>
      </x:c>
      <x:c r="B7" s="24" t="n">
        <x:v>0</x:v>
      </x:c>
    </x:row>
    <x:row r="8" ht="27" customHeight="1">
      <x:c r="A8" s="9" t="str">
        <x:v>Epoch sayısı</x:v>
      </x:c>
      <x:c r="B8" s="26" t="n">
        <x:v>30</x:v>
      </x:c>
    </x:row>
    <x:row r="9" ht="27" customHeight="1">
      <x:c r="A9" s="9" t="str">
        <x:v>Örnek / epoch</x:v>
      </x:c>
      <x:c r="B9" s="26" t="n">
        <x:v>4</x:v>
      </x:c>
    </x:row>
    <x:row r="12">
      <x:c r="A12" t="str">
        <x:v>Not</x:v>
      </x:c>
      <x:c r="B12" t="str">
        <x:v>Sarı hücreler kullanıcı girdisidir.</x:v>
      </x:c>
      <x:c r="C12"/>
      <x:c r="D12"/>
      <x:c r="E12"/>
    </x:row>
    <x:row r="13">
      <x:c r="A13" t="str">
        <x:v>Deney 1</x:v>
      </x:c>
      <x:c r="B13" t="str">
        <x:v>η = 0,01 yapın; yakınsamayı gözlemleyin.</x:v>
      </x:c>
      <x:c r="C13"/>
      <x:c r="D13"/>
      <x:c r="E13"/>
    </x:row>
    <x:row r="14">
      <x:c r="A14" t="str">
        <x:v>Deney 2</x:v>
      </x:c>
      <x:c r="B14" t="str">
        <x:v>η = 0,50 yapın; MSE davranışını inceleyin.</x:v>
      </x:c>
      <x:c r="C14"/>
      <x:c r="D14"/>
      <x:c r="E14"/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36" customHeight="1">
      <x:c r="A1" s="4" t="str">
        <x:v>02 | Eğitim veri kümesi: Bipolar AND</x:v>
      </x:c>
      <x:c r="B1" s="4"/>
      <x:c r="C1" s="4"/>
      <x:c r="D1" s="4"/>
      <x:c r="E1" s="4"/>
    </x:row>
    <x:row r="2" ht="36" customHeight="1">
      <x:c r="A2" s="4"/>
      <x:c r="B2" s="4"/>
      <x:c r="C2" s="4"/>
      <x:c r="D2" s="4"/>
      <x:c r="E2" s="4"/>
    </x:row>
    <x:row r="4" ht="29" customHeight="1">
      <x:c r="A4" s="19" t="str">
        <x:v>Örnek</x:v>
      </x:c>
      <x:c r="B4" s="19" t="str">
        <x:v>x1</x:v>
      </x:c>
      <x:c r="C4" s="19" t="str">
        <x:v>x2</x:v>
      </x:c>
      <x:c r="D4" s="19" t="str">
        <x:v>Hedef t</x:v>
      </x:c>
    </x:row>
    <x:row r="5" ht="28" customHeight="1">
      <x:c r="A5" s="24" t="n">
        <x:v>1</x:v>
      </x:c>
      <x:c r="B5" s="24" t="n">
        <x:v>-1</x:v>
      </x:c>
      <x:c r="C5" s="24" t="n">
        <x:v>-1</x:v>
      </x:c>
      <x:c r="D5" s="24" t="n">
        <x:v>-1</x:v>
      </x:c>
    </x:row>
    <x:row r="6" ht="28" customHeight="1">
      <x:c r="A6" s="24" t="n">
        <x:v>2</x:v>
      </x:c>
      <x:c r="B6" s="24" t="n">
        <x:v>-1</x:v>
      </x:c>
      <x:c r="C6" s="24" t="n">
        <x:v>1</x:v>
      </x:c>
      <x:c r="D6" s="24" t="n">
        <x:v>-1</x:v>
      </x:c>
    </x:row>
    <x:row r="7" ht="28" customHeight="1">
      <x:c r="A7" s="24" t="n">
        <x:v>3</x:v>
      </x:c>
      <x:c r="B7" s="24" t="n">
        <x:v>1</x:v>
      </x:c>
      <x:c r="C7" s="24" t="n">
        <x:v>-1</x:v>
      </x:c>
      <x:c r="D7" s="24" t="n">
        <x:v>-1</x:v>
      </x:c>
    </x:row>
    <x:row r="8" ht="28" customHeight="1">
      <x:c r="A8" s="24" t="n">
        <x:v>4</x:v>
      </x:c>
      <x:c r="B8" s="24" t="n">
        <x:v>1</x:v>
      </x:c>
      <x:c r="C8" s="24" t="n">
        <x:v>1</x:v>
      </x:c>
      <x:c r="D8" s="24" t="n">
        <x:v>1</x:v>
      </x:c>
    </x:row>
    <x:row r="11">
      <x:c r="A11" t="str">
        <x:v>Verileri değiştirirseniz modelin öğrendiği ilişki de değişir.</x:v>
      </x:c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6" customHeight="1">
      <x:c r="A1" s="4" t="str">
        <x:v>03 | ADALINE çevrim içi LMS eğitim adımları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 ht="29" customHeight="1">
      <x:c r="A4" s="19" t="str">
        <x:v>Adım</x:v>
      </x:c>
      <x:c r="B4" s="19" t="str">
        <x:v>Epoch</x:v>
      </x:c>
      <x:c r="C4" s="19" t="str">
        <x:v>Örnek</x:v>
      </x:c>
      <x:c r="D4" s="19" t="str">
        <x:v>x1</x:v>
      </x:c>
      <x:c r="E4" s="19" t="str">
        <x:v>x2</x:v>
      </x:c>
      <x:c r="F4" s="19" t="str">
        <x:v>Hedef t</x:v>
      </x:c>
      <x:c r="G4" s="19" t="str">
        <x:v>w1 (önce)</x:v>
      </x:c>
      <x:c r="H4" s="19" t="str">
        <x:v>w2 (önce)</x:v>
      </x:c>
      <x:c r="I4" s="19" t="str">
        <x:v>b (önce)</x:v>
      </x:c>
      <x:c r="J4" s="19" t="str">
        <x:v>Çıktı y</x:v>
      </x:c>
      <x:c r="K4" s="19" t="str">
        <x:v>Hata e</x:v>
      </x:c>
      <x:c r="L4" s="19" t="str">
        <x:v>Hata²</x:v>
      </x:c>
      <x:c r="M4" s="19" t="str">
        <x:v>w1 (sonra)</x:v>
      </x:c>
      <x:c r="N4" s="19" t="str">
        <x:v>w2 (sonra)</x:v>
      </x:c>
      <x:c r="O4" s="19" t="str">
        <x:v>b (sonra)</x:v>
      </x:c>
    </x:row>
    <x:row r="5">
      <x:c r="A5" t="n">
        <x:f>ROW()-4</x:f>
        <x:v>1</x:v>
      </x:c>
      <x:c r="B5" t="n">
        <x:f>INT((A5-1)/Parametreler!$B$9)+1</x:f>
        <x:v>1</x:v>
      </x:c>
      <x:c r="C5" t="n">
        <x:f>MOD(A5-1,Parametreler!$B$9)+1</x:f>
        <x:v>1</x:v>
      </x:c>
      <x:c r="D5" t="n">
        <x:f>INDEX(Veri!$B$5:$B$8,C5)</x:f>
        <x:v>-1</x:v>
      </x:c>
      <x:c r="E5" t="n">
        <x:f>INDEX(Veri!$C$5:$C$8,C5)</x:f>
        <x:v>-1</x:v>
      </x:c>
      <x:c r="F5" t="n">
        <x:f>INDEX(Veri!$D$5:$D$8,C5)</x:f>
        <x:v>-1</x:v>
      </x:c>
      <x:c r="G5" s="28" t="n">
        <x:f>Parametreler!$B$5</x:f>
        <x:v>0</x:v>
      </x:c>
      <x:c r="H5" s="28" t="n">
        <x:f>Parametreler!$B$6</x:f>
        <x:v>0</x:v>
      </x:c>
      <x:c r="I5" s="28" t="n">
        <x:f>Parametreler!$B$7</x:f>
        <x:v>0</x:v>
      </x:c>
      <x:c r="J5" s="30" t="n">
        <x:f>G5*D5+H5*E5+I5</x:f>
        <x:v>0</x:v>
      </x:c>
      <x:c r="K5" s="30" t="n">
        <x:f>F5-J5</x:f>
        <x:v>-1</x:v>
      </x:c>
      <x:c r="L5" s="30" t="n">
        <x:f>K5^2</x:f>
        <x:v>1</x:v>
      </x:c>
      <x:c r="M5" s="28" t="n">
        <x:f>G5+Parametreler!$B$4*K5*D5</x:f>
        <x:v>0.05</x:v>
      </x:c>
      <x:c r="N5" s="28" t="n">
        <x:f>H5+Parametreler!$B$4*K5*E5</x:f>
        <x:v>0.05</x:v>
      </x:c>
      <x:c r="O5" s="28" t="n">
        <x:f>I5+Parametreler!$B$4*K5</x:f>
        <x:v>-0.05</x:v>
      </x:c>
    </x:row>
    <x:row r="6">
      <x:c r="A6" t="n">
        <x:f>ROW()-4</x:f>
        <x:v>2</x:v>
      </x:c>
      <x:c r="B6" t="n">
        <x:f>INT((A6-1)/Parametreler!$B$9)+1</x:f>
        <x:v>1</x:v>
      </x:c>
      <x:c r="C6" t="n">
        <x:f>MOD(A6-1,Parametreler!$B$9)+1</x:f>
        <x:v>2</x:v>
      </x:c>
      <x:c r="D6" t="n">
        <x:f>INDEX(Veri!$B$5:$B$8,C6)</x:f>
        <x:v>-1</x:v>
      </x:c>
      <x:c r="E6" t="n">
        <x:f>INDEX(Veri!$C$5:$C$8,C6)</x:f>
        <x:v>1</x:v>
      </x:c>
      <x:c r="F6" t="n">
        <x:f>INDEX(Veri!$D$5:$D$8,C6)</x:f>
        <x:v>-1</x:v>
      </x:c>
      <x:c r="G6" s="28" t="n">
        <x:f>M5</x:f>
        <x:v>0.05</x:v>
      </x:c>
      <x:c r="H6" s="28" t="n">
        <x:f>N5</x:f>
        <x:v>0.05</x:v>
      </x:c>
      <x:c r="I6" s="28" t="n">
        <x:f>O5</x:f>
        <x:v>-0.05</x:v>
      </x:c>
      <x:c r="J6" s="30" t="n">
        <x:f>G6*D6+H6*E6+I6</x:f>
        <x:v>-0.05</x:v>
      </x:c>
      <x:c r="K6" s="30" t="n">
        <x:f>F6-J6</x:f>
        <x:v>-0.95</x:v>
      </x:c>
      <x:c r="L6" s="30" t="n">
        <x:f>K6^2</x:f>
        <x:v>0.9025</x:v>
      </x:c>
      <x:c r="M6" s="28" t="n">
        <x:f>G6+Parametreler!$B$4*K6*D6</x:f>
        <x:v>0.0975</x:v>
      </x:c>
      <x:c r="N6" s="28" t="n">
        <x:f>H6+Parametreler!$B$4*K6*E6</x:f>
        <x:v>0.0025000000000000022</x:v>
      </x:c>
      <x:c r="O6" s="28" t="n">
        <x:f>I6+Parametreler!$B$4*K6</x:f>
        <x:v>-0.0975</x:v>
      </x:c>
    </x:row>
    <x:row r="7">
      <x:c r="A7" t="n">
        <x:f>ROW()-4</x:f>
        <x:v>3</x:v>
      </x:c>
      <x:c r="B7" t="n">
        <x:f>INT((A7-1)/Parametreler!$B$9)+1</x:f>
        <x:v>1</x:v>
      </x:c>
      <x:c r="C7" t="n">
        <x:f>MOD(A7-1,Parametreler!$B$9)+1</x:f>
        <x:v>3</x:v>
      </x:c>
      <x:c r="D7" t="n">
        <x:f>INDEX(Veri!$B$5:$B$8,C7)</x:f>
        <x:v>1</x:v>
      </x:c>
      <x:c r="E7" t="n">
        <x:f>INDEX(Veri!$C$5:$C$8,C7)</x:f>
        <x:v>-1</x:v>
      </x:c>
      <x:c r="F7" t="n">
        <x:f>INDEX(Veri!$D$5:$D$8,C7)</x:f>
        <x:v>-1</x:v>
      </x:c>
      <x:c r="G7" s="28" t="n">
        <x:f>M6</x:f>
        <x:v>0.0975</x:v>
      </x:c>
      <x:c r="H7" s="28" t="n">
        <x:f>N6</x:f>
        <x:v>0.0025000000000000022</x:v>
      </x:c>
      <x:c r="I7" s="28" t="n">
        <x:f>O6</x:f>
        <x:v>-0.0975</x:v>
      </x:c>
      <x:c r="J7" s="30" t="n">
        <x:f>G7*D7+H7*E7+I7</x:f>
        <x:v>-0.0025000000000000022</x:v>
      </x:c>
      <x:c r="K7" s="30" t="n">
        <x:f>F7-J7</x:f>
        <x:v>-0.9975</x:v>
      </x:c>
      <x:c r="L7" s="30" t="n">
        <x:f>K7^2</x:f>
        <x:v>0.9950062500000001</x:v>
      </x:c>
      <x:c r="M7" s="28" t="n">
        <x:f>G7+Parametreler!$B$4*K7*D7</x:f>
        <x:v>0.047625</x:v>
      </x:c>
      <x:c r="N7" s="28" t="n">
        <x:f>H7+Parametreler!$B$4*K7*E7</x:f>
        <x:v>0.052375000000000005</x:v>
      </x:c>
      <x:c r="O7" s="28" t="n">
        <x:f>I7+Parametreler!$B$4*K7</x:f>
        <x:v>-0.147375</x:v>
      </x:c>
    </x:row>
    <x:row r="8">
      <x:c r="A8" t="n">
        <x:f>ROW()-4</x:f>
        <x:v>4</x:v>
      </x:c>
      <x:c r="B8" t="n">
        <x:f>INT((A8-1)/Parametreler!$B$9)+1</x:f>
        <x:v>1</x:v>
      </x:c>
      <x:c r="C8" t="n">
        <x:f>MOD(A8-1,Parametreler!$B$9)+1</x:f>
        <x:v>4</x:v>
      </x:c>
      <x:c r="D8" t="n">
        <x:f>INDEX(Veri!$B$5:$B$8,C8)</x:f>
        <x:v>1</x:v>
      </x:c>
      <x:c r="E8" t="n">
        <x:f>INDEX(Veri!$C$5:$C$8,C8)</x:f>
        <x:v>1</x:v>
      </x:c>
      <x:c r="F8" t="n">
        <x:f>INDEX(Veri!$D$5:$D$8,C8)</x:f>
        <x:v>1</x:v>
      </x:c>
      <x:c r="G8" s="28" t="n">
        <x:f>M7</x:f>
        <x:v>0.047625</x:v>
      </x:c>
      <x:c r="H8" s="28" t="n">
        <x:f>N7</x:f>
        <x:v>0.052375000000000005</x:v>
      </x:c>
      <x:c r="I8" s="28" t="n">
        <x:f>O7</x:f>
        <x:v>-0.147375</x:v>
      </x:c>
      <x:c r="J8" s="30" t="n">
        <x:f>G8*D8+H8*E8+I8</x:f>
        <x:v>-0.047375</x:v>
      </x:c>
      <x:c r="K8" s="30" t="n">
        <x:f>F8-J8</x:f>
        <x:v>1.047375</x:v>
      </x:c>
      <x:c r="L8" s="30" t="n">
        <x:f>K8^2</x:f>
        <x:v>1.096994390625</x:v>
      </x:c>
      <x:c r="M8" s="28" t="n">
        <x:f>G8+Parametreler!$B$4*K8*D8</x:f>
        <x:v>0.09999374999999999</x:v>
      </x:c>
      <x:c r="N8" s="28" t="n">
        <x:f>H8+Parametreler!$B$4*K8*E8</x:f>
        <x:v>0.10474375</x:v>
      </x:c>
      <x:c r="O8" s="28" t="n">
        <x:f>I8+Parametreler!$B$4*K8</x:f>
        <x:v>-0.09500625000000001</x:v>
      </x:c>
    </x:row>
    <x:row r="9">
      <x:c r="A9" t="n">
        <x:f>ROW()-4</x:f>
        <x:v>5</x:v>
      </x:c>
      <x:c r="B9" t="n">
        <x:f>INT((A9-1)/Parametreler!$B$9)+1</x:f>
        <x:v>2</x:v>
      </x:c>
      <x:c r="C9" t="n">
        <x:f>MOD(A9-1,Parametreler!$B$9)+1</x:f>
        <x:v>1</x:v>
      </x:c>
      <x:c r="D9" t="n">
        <x:f>INDEX(Veri!$B$5:$B$8,C9)</x:f>
        <x:v>-1</x:v>
      </x:c>
      <x:c r="E9" t="n">
        <x:f>INDEX(Veri!$C$5:$C$8,C9)</x:f>
        <x:v>-1</x:v>
      </x:c>
      <x:c r="F9" t="n">
        <x:f>INDEX(Veri!$D$5:$D$8,C9)</x:f>
        <x:v>-1</x:v>
      </x:c>
      <x:c r="G9" s="28" t="n">
        <x:f>M8</x:f>
        <x:v>0.09999374999999999</x:v>
      </x:c>
      <x:c r="H9" s="28" t="n">
        <x:f>N8</x:f>
        <x:v>0.10474375</x:v>
      </x:c>
      <x:c r="I9" s="28" t="n">
        <x:f>O8</x:f>
        <x:v>-0.09500625000000001</x:v>
      </x:c>
      <x:c r="J9" s="30" t="n">
        <x:f>G9*D9+H9*E9+I9</x:f>
        <x:v>-0.29974375</x:v>
      </x:c>
      <x:c r="K9" s="30" t="n">
        <x:f>F9-J9</x:f>
        <x:v>-0.70025625</x:v>
      </x:c>
      <x:c r="L9" s="30" t="n">
        <x:f>K9^2</x:f>
        <x:v>0.49035881566406253</x:v>
      </x:c>
      <x:c r="M9" s="28" t="n">
        <x:f>G9+Parametreler!$B$4*K9*D9</x:f>
        <x:v>0.13500656249999998</x:v>
      </x:c>
      <x:c r="N9" s="28" t="n">
        <x:f>H9+Parametreler!$B$4*K9*E9</x:f>
        <x:v>0.13975656250000001</x:v>
      </x:c>
      <x:c r="O9" s="28" t="n">
        <x:f>I9+Parametreler!$B$4*K9</x:f>
        <x:v>-0.1300190625</x:v>
      </x:c>
    </x:row>
    <x:row r="10">
      <x:c r="A10" t="n">
        <x:f>ROW()-4</x:f>
        <x:v>6</x:v>
      </x:c>
      <x:c r="B10" t="n">
        <x:f>INT((A10-1)/Parametreler!$B$9)+1</x:f>
        <x:v>2</x:v>
      </x:c>
      <x:c r="C10" t="n">
        <x:f>MOD(A10-1,Parametreler!$B$9)+1</x:f>
        <x:v>2</x:v>
      </x:c>
      <x:c r="D10" t="n">
        <x:f>INDEX(Veri!$B$5:$B$8,C10)</x:f>
        <x:v>-1</x:v>
      </x:c>
      <x:c r="E10" t="n">
        <x:f>INDEX(Veri!$C$5:$C$8,C10)</x:f>
        <x:v>1</x:v>
      </x:c>
      <x:c r="F10" t="n">
        <x:f>INDEX(Veri!$D$5:$D$8,C10)</x:f>
        <x:v>-1</x:v>
      </x:c>
      <x:c r="G10" s="28" t="n">
        <x:f>M9</x:f>
        <x:v>0.13500656249999998</x:v>
      </x:c>
      <x:c r="H10" s="28" t="n">
        <x:f>N9</x:f>
        <x:v>0.13975656250000001</x:v>
      </x:c>
      <x:c r="I10" s="28" t="n">
        <x:f>O9</x:f>
        <x:v>-0.1300190625</x:v>
      </x:c>
      <x:c r="J10" s="30" t="n">
        <x:f>G10*D10+H10*E10+I10</x:f>
        <x:v>-0.12526906249999997</x:v>
      </x:c>
      <x:c r="K10" s="30" t="n">
        <x:f>F10-J10</x:f>
        <x:v>-0.8747309375000001</x:v>
      </x:c>
      <x:c r="L10" s="30" t="n">
        <x:f>K10^2</x:f>
        <x:v>0.765154213019629</x:v>
      </x:c>
      <x:c r="M10" s="28" t="n">
        <x:f>G10+Parametreler!$B$4*K10*D10</x:f>
        <x:v>0.178743109375</x:v>
      </x:c>
      <x:c r="N10" s="28" t="n">
        <x:f>H10+Parametreler!$B$4*K10*E10</x:f>
        <x:v>0.09602001562500001</x:v>
      </x:c>
      <x:c r="O10" s="28" t="n">
        <x:f>I10+Parametreler!$B$4*K10</x:f>
        <x:v>-0.173755609375</x:v>
      </x:c>
    </x:row>
    <x:row r="11">
      <x:c r="A11" t="n">
        <x:f>ROW()-4</x:f>
        <x:v>7</x:v>
      </x:c>
      <x:c r="B11" t="n">
        <x:f>INT((A11-1)/Parametreler!$B$9)+1</x:f>
        <x:v>2</x:v>
      </x:c>
      <x:c r="C11" t="n">
        <x:f>MOD(A11-1,Parametreler!$B$9)+1</x:f>
        <x:v>3</x:v>
      </x:c>
      <x:c r="D11" t="n">
        <x:f>INDEX(Veri!$B$5:$B$8,C11)</x:f>
        <x:v>1</x:v>
      </x:c>
      <x:c r="E11" t="n">
        <x:f>INDEX(Veri!$C$5:$C$8,C11)</x:f>
        <x:v>-1</x:v>
      </x:c>
      <x:c r="F11" t="n">
        <x:f>INDEX(Veri!$D$5:$D$8,C11)</x:f>
        <x:v>-1</x:v>
      </x:c>
      <x:c r="G11" s="28" t="n">
        <x:f>M10</x:f>
        <x:v>0.178743109375</x:v>
      </x:c>
      <x:c r="H11" s="28" t="n">
        <x:f>N10</x:f>
        <x:v>0.09602001562500001</x:v>
      </x:c>
      <x:c r="I11" s="28" t="n">
        <x:f>O10</x:f>
        <x:v>-0.173755609375</x:v>
      </x:c>
      <x:c r="J11" s="30" t="n">
        <x:f>G11*D11+H11*E11+I11</x:f>
        <x:v>-0.09103251562500003</x:v>
      </x:c>
      <x:c r="K11" s="30" t="n">
        <x:f>F11-J11</x:f>
        <x:v>-0.908967484375</x:v>
      </x:c>
      <x:c r="L11" s="30" t="n">
        <x:f>K11^2</x:f>
        <x:v>0.8262218876510158</x:v>
      </x:c>
      <x:c r="M11" s="28" t="n">
        <x:f>G11+Parametreler!$B$4*K11*D11</x:f>
        <x:v>0.13329473515624998</x:v>
      </x:c>
      <x:c r="N11" s="28" t="n">
        <x:f>H11+Parametreler!$B$4*K11*E11</x:f>
        <x:v>0.14146838984375001</x:v>
      </x:c>
      <x:c r="O11" s="28" t="n">
        <x:f>I11+Parametreler!$B$4*K11</x:f>
        <x:v>-0.21920398359375</x:v>
      </x:c>
    </x:row>
    <x:row r="12">
      <x:c r="A12" t="n">
        <x:f>ROW()-4</x:f>
        <x:v>8</x:v>
      </x:c>
      <x:c r="B12" t="n">
        <x:f>INT((A12-1)/Parametreler!$B$9)+1</x:f>
        <x:v>2</x:v>
      </x:c>
      <x:c r="C12" t="n">
        <x:f>MOD(A12-1,Parametreler!$B$9)+1</x:f>
        <x:v>4</x:v>
      </x:c>
      <x:c r="D12" t="n">
        <x:f>INDEX(Veri!$B$5:$B$8,C12)</x:f>
        <x:v>1</x:v>
      </x:c>
      <x:c r="E12" t="n">
        <x:f>INDEX(Veri!$C$5:$C$8,C12)</x:f>
        <x:v>1</x:v>
      </x:c>
      <x:c r="F12" t="n">
        <x:f>INDEX(Veri!$D$5:$D$8,C12)</x:f>
        <x:v>1</x:v>
      </x:c>
      <x:c r="G12" s="28" t="n">
        <x:f>M11</x:f>
        <x:v>0.13329473515624998</x:v>
      </x:c>
      <x:c r="H12" s="28" t="n">
        <x:f>N11</x:f>
        <x:v>0.14146838984375001</x:v>
      </x:c>
      <x:c r="I12" s="28" t="n">
        <x:f>O11</x:f>
        <x:v>-0.21920398359375</x:v>
      </x:c>
      <x:c r="J12" s="30" t="n">
        <x:f>G12*D12+H12*E12+I12</x:f>
        <x:v>0.055559141406249984</x:v>
      </x:c>
      <x:c r="K12" s="30" t="n">
        <x:f>F12-J12</x:f>
        <x:v>0.94444085859375</x:v>
      </x:c>
      <x:c r="L12" s="30" t="n">
        <x:f>K12^2</x:f>
        <x:v>0.8919685353812997</x:v>
      </x:c>
      <x:c r="M12" s="28" t="n">
        <x:f>G12+Parametreler!$B$4*K12*D12</x:f>
        <x:v>0.1805167780859375</x:v>
      </x:c>
      <x:c r="N12" s="28" t="n">
        <x:f>H12+Parametreler!$B$4*K12*E12</x:f>
        <x:v>0.18869043277343753</x:v>
      </x:c>
      <x:c r="O12" s="28" t="n">
        <x:f>I12+Parametreler!$B$4*K12</x:f>
        <x:v>-0.1719819406640625</x:v>
      </x:c>
    </x:row>
    <x:row r="13">
      <x:c r="A13" t="n">
        <x:f>ROW()-4</x:f>
        <x:v>9</x:v>
      </x:c>
      <x:c r="B13" t="n">
        <x:f>INT((A13-1)/Parametreler!$B$9)+1</x:f>
        <x:v>3</x:v>
      </x:c>
      <x:c r="C13" t="n">
        <x:f>MOD(A13-1,Parametreler!$B$9)+1</x:f>
        <x:v>1</x:v>
      </x:c>
      <x:c r="D13" t="n">
        <x:f>INDEX(Veri!$B$5:$B$8,C13)</x:f>
        <x:v>-1</x:v>
      </x:c>
      <x:c r="E13" t="n">
        <x:f>INDEX(Veri!$C$5:$C$8,C13)</x:f>
        <x:v>-1</x:v>
      </x:c>
      <x:c r="F13" t="n">
        <x:f>INDEX(Veri!$D$5:$D$8,C13)</x:f>
        <x:v>-1</x:v>
      </x:c>
      <x:c r="G13" s="28" t="n">
        <x:f>M12</x:f>
        <x:v>0.1805167780859375</x:v>
      </x:c>
      <x:c r="H13" s="28" t="n">
        <x:f>N12</x:f>
        <x:v>0.18869043277343753</x:v>
      </x:c>
      <x:c r="I13" s="28" t="n">
        <x:f>O12</x:f>
        <x:v>-0.1719819406640625</x:v>
      </x:c>
      <x:c r="J13" s="30" t="n">
        <x:f>G13*D13+H13*E13+I13</x:f>
        <x:v>-0.5411891515234375</x:v>
      </x:c>
      <x:c r="K13" s="30" t="n">
        <x:f>F13-J13</x:f>
        <x:v>-0.4588108484765625</x:v>
      </x:c>
      <x:c r="L13" s="30" t="n">
        <x:f>K13^2</x:f>
        <x:v>0.2105073946797832</x:v>
      </x:c>
      <x:c r="M13" s="28" t="n">
        <x:f>G13+Parametreler!$B$4*K13*D13</x:f>
        <x:v>0.20345732050976562</x:v>
      </x:c>
      <x:c r="N13" s="28" t="n">
        <x:f>H13+Parametreler!$B$4*K13*E13</x:f>
        <x:v>0.21163097519726565</x:v>
      </x:c>
      <x:c r="O13" s="28" t="n">
        <x:f>I13+Parametreler!$B$4*K13</x:f>
        <x:v>-0.19492248308789062</x:v>
      </x:c>
    </x:row>
    <x:row r="14">
      <x:c r="A14" t="n">
        <x:f>ROW()-4</x:f>
        <x:v>10</x:v>
      </x:c>
      <x:c r="B14" t="n">
        <x:f>INT((A14-1)/Parametreler!$B$9)+1</x:f>
        <x:v>3</x:v>
      </x:c>
      <x:c r="C14" t="n">
        <x:f>MOD(A14-1,Parametreler!$B$9)+1</x:f>
        <x:v>2</x:v>
      </x:c>
      <x:c r="D14" t="n">
        <x:f>INDEX(Veri!$B$5:$B$8,C14)</x:f>
        <x:v>-1</x:v>
      </x:c>
      <x:c r="E14" t="n">
        <x:f>INDEX(Veri!$C$5:$C$8,C14)</x:f>
        <x:v>1</x:v>
      </x:c>
      <x:c r="F14" t="n">
        <x:f>INDEX(Veri!$D$5:$D$8,C14)</x:f>
        <x:v>-1</x:v>
      </x:c>
      <x:c r="G14" s="28" t="n">
        <x:f>M13</x:f>
        <x:v>0.20345732050976562</x:v>
      </x:c>
      <x:c r="H14" s="28" t="n">
        <x:f>N13</x:f>
        <x:v>0.21163097519726565</x:v>
      </x:c>
      <x:c r="I14" s="28" t="n">
        <x:f>O13</x:f>
        <x:v>-0.19492248308789062</x:v>
      </x:c>
      <x:c r="J14" s="30" t="n">
        <x:f>G14*D14+H14*E14+I14</x:f>
        <x:v>-0.1867488284003906</x:v>
      </x:c>
      <x:c r="K14" s="30" t="n">
        <x:f>F14-J14</x:f>
        <x:v>-0.8132511715996094</x:v>
      </x:c>
      <x:c r="L14" s="30" t="n">
        <x:f>K14^2</x:f>
        <x:v>0.6613774681081372</x:v>
      </x:c>
      <x:c r="M14" s="28" t="n">
        <x:f>G14+Parametreler!$B$4*K14*D14</x:f>
        <x:v>0.24411987908974608</x:v>
      </x:c>
      <x:c r="N14" s="28" t="n">
        <x:f>H14+Parametreler!$B$4*K14*E14</x:f>
        <x:v>0.17096841661728518</x:v>
      </x:c>
      <x:c r="O14" s="28" t="n">
        <x:f>I14+Parametreler!$B$4*K14</x:f>
        <x:v>-0.2355850416678711</x:v>
      </x:c>
    </x:row>
    <x:row r="15">
      <x:c r="A15" t="n">
        <x:f>ROW()-4</x:f>
        <x:v>11</x:v>
      </x:c>
      <x:c r="B15" t="n">
        <x:f>INT((A15-1)/Parametreler!$B$9)+1</x:f>
        <x:v>3</x:v>
      </x:c>
      <x:c r="C15" t="n">
        <x:f>MOD(A15-1,Parametreler!$B$9)+1</x:f>
        <x:v>3</x:v>
      </x:c>
      <x:c r="D15" t="n">
        <x:f>INDEX(Veri!$B$5:$B$8,C15)</x:f>
        <x:v>1</x:v>
      </x:c>
      <x:c r="E15" t="n">
        <x:f>INDEX(Veri!$C$5:$C$8,C15)</x:f>
        <x:v>-1</x:v>
      </x:c>
      <x:c r="F15" t="n">
        <x:f>INDEX(Veri!$D$5:$D$8,C15)</x:f>
        <x:v>-1</x:v>
      </x:c>
      <x:c r="G15" s="28" t="n">
        <x:f>M14</x:f>
        <x:v>0.24411987908974608</x:v>
      </x:c>
      <x:c r="H15" s="28" t="n">
        <x:f>N14</x:f>
        <x:v>0.17096841661728518</x:v>
      </x:c>
      <x:c r="I15" s="28" t="n">
        <x:f>O14</x:f>
        <x:v>-0.2355850416678711</x:v>
      </x:c>
      <x:c r="J15" s="30" t="n">
        <x:f>G15*D15+H15*E15+I15</x:f>
        <x:v>-0.16243357919541018</x:v>
      </x:c>
      <x:c r="K15" s="30" t="n">
        <x:f>F15-J15</x:f>
        <x:v>-0.8375664208045899</x:v>
      </x:c>
      <x:c r="L15" s="30" t="n">
        <x:f>K15^2</x:f>
        <x:v>0.7015175092594114</x:v>
      </x:c>
      <x:c r="M15" s="28" t="n">
        <x:f>G15+Parametreler!$B$4*K15*D15</x:f>
        <x:v>0.2022415580495166</x:v>
      </x:c>
      <x:c r="N15" s="28" t="n">
        <x:f>H15+Parametreler!$B$4*K15*E15</x:f>
        <x:v>0.21284673765751466</x:v>
      </x:c>
      <x:c r="O15" s="28" t="n">
        <x:f>I15+Parametreler!$B$4*K15</x:f>
        <x:v>-0.27746336270810057</x:v>
      </x:c>
    </x:row>
    <x:row r="16">
      <x:c r="A16" t="n">
        <x:f>ROW()-4</x:f>
        <x:v>12</x:v>
      </x:c>
      <x:c r="B16" t="n">
        <x:f>INT((A16-1)/Parametreler!$B$9)+1</x:f>
        <x:v>3</x:v>
      </x:c>
      <x:c r="C16" t="n">
        <x:f>MOD(A16-1,Parametreler!$B$9)+1</x:f>
        <x:v>4</x:v>
      </x:c>
      <x:c r="D16" t="n">
        <x:f>INDEX(Veri!$B$5:$B$8,C16)</x:f>
        <x:v>1</x:v>
      </x:c>
      <x:c r="E16" t="n">
        <x:f>INDEX(Veri!$C$5:$C$8,C16)</x:f>
        <x:v>1</x:v>
      </x:c>
      <x:c r="F16" t="n">
        <x:f>INDEX(Veri!$D$5:$D$8,C16)</x:f>
        <x:v>1</x:v>
      </x:c>
      <x:c r="G16" s="28" t="n">
        <x:f>M15</x:f>
        <x:v>0.2022415580495166</x:v>
      </x:c>
      <x:c r="H16" s="28" t="n">
        <x:f>N15</x:f>
        <x:v>0.21284673765751466</x:v>
      </x:c>
      <x:c r="I16" s="28" t="n">
        <x:f>O15</x:f>
        <x:v>-0.27746336270810057</x:v>
      </x:c>
      <x:c r="J16" s="30" t="n">
        <x:f>G16*D16+H16*E16+I16</x:f>
        <x:v>0.1376249329989307</x:v>
      </x:c>
      <x:c r="K16" s="30" t="n">
        <x:f>F16-J16</x:f>
        <x:v>0.8623750670010693</x:v>
      </x:c>
      <x:c r="L16" s="30" t="n">
        <x:f>K16^2</x:f>
        <x:v>0.7436907561850987</x:v>
      </x:c>
      <x:c r="M16" s="28" t="n">
        <x:f>G16+Parametreler!$B$4*K16*D16</x:f>
        <x:v>0.24536031139957007</x:v>
      </x:c>
      <x:c r="N16" s="28" t="n">
        <x:f>H16+Parametreler!$B$4*K16*E16</x:f>
        <x:v>0.25596549100756816</x:v>
      </x:c>
      <x:c r="O16" s="28" t="n">
        <x:f>I16+Parametreler!$B$4*K16</x:f>
        <x:v>-0.2343446093580471</x:v>
      </x:c>
    </x:row>
    <x:row r="17">
      <x:c r="A17" t="n">
        <x:f>ROW()-4</x:f>
        <x:v>13</x:v>
      </x:c>
      <x:c r="B17" t="n">
        <x:f>INT((A17-1)/Parametreler!$B$9)+1</x:f>
        <x:v>4</x:v>
      </x:c>
      <x:c r="C17" t="n">
        <x:f>MOD(A17-1,Parametreler!$B$9)+1</x:f>
        <x:v>1</x:v>
      </x:c>
      <x:c r="D17" t="n">
        <x:f>INDEX(Veri!$B$5:$B$8,C17)</x:f>
        <x:v>-1</x:v>
      </x:c>
      <x:c r="E17" t="n">
        <x:f>INDEX(Veri!$C$5:$C$8,C17)</x:f>
        <x:v>-1</x:v>
      </x:c>
      <x:c r="F17" t="n">
        <x:f>INDEX(Veri!$D$5:$D$8,C17)</x:f>
        <x:v>-1</x:v>
      </x:c>
      <x:c r="G17" s="28" t="n">
        <x:f>M16</x:f>
        <x:v>0.24536031139957007</x:v>
      </x:c>
      <x:c r="H17" s="28" t="n">
        <x:f>N16</x:f>
        <x:v>0.25596549100756816</x:v>
      </x:c>
      <x:c r="I17" s="28" t="n">
        <x:f>O16</x:f>
        <x:v>-0.2343446093580471</x:v>
      </x:c>
      <x:c r="J17" s="30" t="n">
        <x:f>G17*D17+H17*E17+I17</x:f>
        <x:v>-0.7356704117651853</x:v>
      </x:c>
      <x:c r="K17" s="30" t="n">
        <x:f>F17-J17</x:f>
        <x:v>-0.26432958823481467</x:v>
      </x:c>
      <x:c r="L17" s="30" t="n">
        <x:f>K17^2</x:f>
        <x:v>0.06987013121638667</x:v>
      </x:c>
      <x:c r="M17" s="28" t="n">
        <x:f>G17+Parametreler!$B$4*K17*D17</x:f>
        <x:v>0.2585767908113108</x:v>
      </x:c>
      <x:c r="N17" s="28" t="n">
        <x:f>H17+Parametreler!$B$4*K17*E17</x:f>
        <x:v>0.2691819704193089</x:v>
      </x:c>
      <x:c r="O17" s="28" t="n">
        <x:f>I17+Parametreler!$B$4*K17</x:f>
        <x:v>-0.24756108876978783</x:v>
      </x:c>
    </x:row>
    <x:row r="18">
      <x:c r="A18" t="n">
        <x:f>ROW()-4</x:f>
        <x:v>14</x:v>
      </x:c>
      <x:c r="B18" t="n">
        <x:f>INT((A18-1)/Parametreler!$B$9)+1</x:f>
        <x:v>4</x:v>
      </x:c>
      <x:c r="C18" t="n">
        <x:f>MOD(A18-1,Parametreler!$B$9)+1</x:f>
        <x:v>2</x:v>
      </x:c>
      <x:c r="D18" t="n">
        <x:f>INDEX(Veri!$B$5:$B$8,C18)</x:f>
        <x:v>-1</x:v>
      </x:c>
      <x:c r="E18" t="n">
        <x:f>INDEX(Veri!$C$5:$C$8,C18)</x:f>
        <x:v>1</x:v>
      </x:c>
      <x:c r="F18" t="n">
        <x:f>INDEX(Veri!$D$5:$D$8,C18)</x:f>
        <x:v>-1</x:v>
      </x:c>
      <x:c r="G18" s="28" t="n">
        <x:f>M17</x:f>
        <x:v>0.2585767908113108</x:v>
      </x:c>
      <x:c r="H18" s="28" t="n">
        <x:f>N17</x:f>
        <x:v>0.2691819704193089</x:v>
      </x:c>
      <x:c r="I18" s="28" t="n">
        <x:f>O17</x:f>
        <x:v>-0.24756108876978783</x:v>
      </x:c>
      <x:c r="J18" s="30" t="n">
        <x:f>G18*D18+H18*E18+I18</x:f>
        <x:v>-0.2369559091617897</x:v>
      </x:c>
      <x:c r="K18" s="30" t="n">
        <x:f>F18-J18</x:f>
        <x:v>-0.7630440908382103</x:v>
      </x:c>
      <x:c r="L18" s="30" t="n">
        <x:f>K18^2</x:f>
        <x:v>0.582236284563111</x:v>
      </x:c>
      <x:c r="M18" s="28" t="n">
        <x:f>G18+Parametreler!$B$4*K18*D18</x:f>
        <x:v>0.29672899535322134</x:v>
      </x:c>
      <x:c r="N18" s="28" t="n">
        <x:f>H18+Parametreler!$B$4*K18*E18</x:f>
        <x:v>0.2310297658773984</x:v>
      </x:c>
      <x:c r="O18" s="28" t="n">
        <x:f>I18+Parametreler!$B$4*K18</x:f>
        <x:v>-0.28571329331169837</x:v>
      </x:c>
    </x:row>
    <x:row r="19">
      <x:c r="A19" t="n">
        <x:f>ROW()-4</x:f>
        <x:v>15</x:v>
      </x:c>
      <x:c r="B19" t="n">
        <x:f>INT((A19-1)/Parametreler!$B$9)+1</x:f>
        <x:v>4</x:v>
      </x:c>
      <x:c r="C19" t="n">
        <x:f>MOD(A19-1,Parametreler!$B$9)+1</x:f>
        <x:v>3</x:v>
      </x:c>
      <x:c r="D19" t="n">
        <x:f>INDEX(Veri!$B$5:$B$8,C19)</x:f>
        <x:v>1</x:v>
      </x:c>
      <x:c r="E19" t="n">
        <x:f>INDEX(Veri!$C$5:$C$8,C19)</x:f>
        <x:v>-1</x:v>
      </x:c>
      <x:c r="F19" t="n">
        <x:f>INDEX(Veri!$D$5:$D$8,C19)</x:f>
        <x:v>-1</x:v>
      </x:c>
      <x:c r="G19" s="28" t="n">
        <x:f>M18</x:f>
        <x:v>0.29672899535322134</x:v>
      </x:c>
      <x:c r="H19" s="28" t="n">
        <x:f>N18</x:f>
        <x:v>0.2310297658773984</x:v>
      </x:c>
      <x:c r="I19" s="28" t="n">
        <x:f>O18</x:f>
        <x:v>-0.28571329331169837</x:v>
      </x:c>
      <x:c r="J19" s="30" t="n">
        <x:f>G19*D19+H19*E19+I19</x:f>
        <x:v>-0.22001406383587543</x:v>
      </x:c>
      <x:c r="K19" s="30" t="n">
        <x:f>F19-J19</x:f>
        <x:v>-0.7799859361641246</x:v>
      </x:c>
      <x:c r="L19" s="30" t="n">
        <x:f>K19^2</x:f>
        <x:v>0.6083780606138258</x:v>
      </x:c>
      <x:c r="M19" s="28" t="n">
        <x:f>G19+Parametreler!$B$4*K19*D19</x:f>
        <x:v>0.2577296985450151</x:v>
      </x:c>
      <x:c r="N19" s="28" t="n">
        <x:f>H19+Parametreler!$B$4*K19*E19</x:f>
        <x:v>0.2700290626856046</x:v>
      </x:c>
      <x:c r="O19" s="28" t="n">
        <x:f>I19+Parametreler!$B$4*K19</x:f>
        <x:v>-0.3247125901199046</x:v>
      </x:c>
    </x:row>
    <x:row r="20">
      <x:c r="A20" t="n">
        <x:f>ROW()-4</x:f>
        <x:v>16</x:v>
      </x:c>
      <x:c r="B20" t="n">
        <x:f>INT((A20-1)/Parametreler!$B$9)+1</x:f>
        <x:v>4</x:v>
      </x:c>
      <x:c r="C20" t="n">
        <x:f>MOD(A20-1,Parametreler!$B$9)+1</x:f>
        <x:v>4</x:v>
      </x:c>
      <x:c r="D20" t="n">
        <x:f>INDEX(Veri!$B$5:$B$8,C20)</x:f>
        <x:v>1</x:v>
      </x:c>
      <x:c r="E20" t="n">
        <x:f>INDEX(Veri!$C$5:$C$8,C20)</x:f>
        <x:v>1</x:v>
      </x:c>
      <x:c r="F20" t="n">
        <x:f>INDEX(Veri!$D$5:$D$8,C20)</x:f>
        <x:v>1</x:v>
      </x:c>
      <x:c r="G20" s="28" t="n">
        <x:f>M19</x:f>
        <x:v>0.2577296985450151</x:v>
      </x:c>
      <x:c r="H20" s="28" t="n">
        <x:f>N19</x:f>
        <x:v>0.2700290626856046</x:v>
      </x:c>
      <x:c r="I20" s="28" t="n">
        <x:f>O19</x:f>
        <x:v>-0.3247125901199046</x:v>
      </x:c>
      <x:c r="J20" s="30" t="n">
        <x:f>G20*D20+H20*E20+I20</x:f>
        <x:v>0.2030461711107151</x:v>
      </x:c>
      <x:c r="K20" s="30" t="n">
        <x:f>F20-J20</x:f>
        <x:v>0.7969538288892849</x:v>
      </x:c>
      <x:c r="L20" s="30" t="n">
        <x:f>K20^2</x:f>
        <x:v>0.6351354053812915</x:v>
      </x:c>
      <x:c r="M20" s="28" t="n">
        <x:f>G20+Parametreler!$B$4*K20*D20</x:f>
        <x:v>0.29757738998947936</x:v>
      </x:c>
      <x:c r="N20" s="28" t="n">
        <x:f>H20+Parametreler!$B$4*K20*E20</x:f>
        <x:v>0.3098767541300689</x:v>
      </x:c>
      <x:c r="O20" s="28" t="n">
        <x:f>I20+Parametreler!$B$4*K20</x:f>
        <x:v>-0.28486489867544035</x:v>
      </x:c>
    </x:row>
    <x:row r="21">
      <x:c r="A21" t="n">
        <x:f>ROW()-4</x:f>
        <x:v>17</x:v>
      </x:c>
      <x:c r="B21" t="n">
        <x:f>INT((A21-1)/Parametreler!$B$9)+1</x:f>
        <x:v>5</x:v>
      </x:c>
      <x:c r="C21" t="n">
        <x:f>MOD(A21-1,Parametreler!$B$9)+1</x:f>
        <x:v>1</x:v>
      </x:c>
      <x:c r="D21" t="n">
        <x:f>INDEX(Veri!$B$5:$B$8,C21)</x:f>
        <x:v>-1</x:v>
      </x:c>
      <x:c r="E21" t="n">
        <x:f>INDEX(Veri!$C$5:$C$8,C21)</x:f>
        <x:v>-1</x:v>
      </x:c>
      <x:c r="F21" t="n">
        <x:f>INDEX(Veri!$D$5:$D$8,C21)</x:f>
        <x:v>-1</x:v>
      </x:c>
      <x:c r="G21" s="28" t="n">
        <x:f>M20</x:f>
        <x:v>0.29757738998947936</x:v>
      </x:c>
      <x:c r="H21" s="28" t="n">
        <x:f>N20</x:f>
        <x:v>0.3098767541300689</x:v>
      </x:c>
      <x:c r="I21" s="28" t="n">
        <x:f>O20</x:f>
        <x:v>-0.28486489867544035</x:v>
      </x:c>
      <x:c r="J21" s="30" t="n">
        <x:f>G21*D21+H21*E21+I21</x:f>
        <x:v>-0.8923190427949885</x:v>
      </x:c>
      <x:c r="K21" s="30" t="n">
        <x:f>F21-J21</x:f>
        <x:v>-0.10768095720501147</x:v>
      </x:c>
      <x:c r="L21" s="30" t="n">
        <x:f>K21^2</x:f>
        <x:v>0.011595188544587513</x:v>
      </x:c>
      <x:c r="M21" s="28" t="n">
        <x:f>G21+Parametreler!$B$4*K21*D21</x:f>
        <x:v>0.30296143784972995</x:v>
      </x:c>
      <x:c r="N21" s="28" t="n">
        <x:f>H21+Parametreler!$B$4*K21*E21</x:f>
        <x:v>0.3152608019903195</x:v>
      </x:c>
      <x:c r="O21" s="28" t="n">
        <x:f>I21+Parametreler!$B$4*K21</x:f>
        <x:v>-0.29024894653569094</x:v>
      </x:c>
    </x:row>
    <x:row r="22">
      <x:c r="A22" t="n">
        <x:f>ROW()-4</x:f>
        <x:v>18</x:v>
      </x:c>
      <x:c r="B22" t="n">
        <x:f>INT((A22-1)/Parametreler!$B$9)+1</x:f>
        <x:v>5</x:v>
      </x:c>
      <x:c r="C22" t="n">
        <x:f>MOD(A22-1,Parametreler!$B$9)+1</x:f>
        <x:v>2</x:v>
      </x:c>
      <x:c r="D22" t="n">
        <x:f>INDEX(Veri!$B$5:$B$8,C22)</x:f>
        <x:v>-1</x:v>
      </x:c>
      <x:c r="E22" t="n">
        <x:f>INDEX(Veri!$C$5:$C$8,C22)</x:f>
        <x:v>1</x:v>
      </x:c>
      <x:c r="F22" t="n">
        <x:f>INDEX(Veri!$D$5:$D$8,C22)</x:f>
        <x:v>-1</x:v>
      </x:c>
      <x:c r="G22" s="28" t="n">
        <x:f>M21</x:f>
        <x:v>0.30296143784972995</x:v>
      </x:c>
      <x:c r="H22" s="28" t="n">
        <x:f>N21</x:f>
        <x:v>0.3152608019903195</x:v>
      </x:c>
      <x:c r="I22" s="28" t="n">
        <x:f>O21</x:f>
        <x:v>-0.29024894653569094</x:v>
      </x:c>
      <x:c r="J22" s="30" t="n">
        <x:f>G22*D22+H22*E22+I22</x:f>
        <x:v>-0.2779495823951014</x:v>
      </x:c>
      <x:c r="K22" s="30" t="n">
        <x:f>F22-J22</x:f>
        <x:v>-0.7220504176048985</x:v>
      </x:c>
      <x:c r="L22" s="30" t="n">
        <x:f>K22^2</x:f>
        <x:v>0.5213568055634084</x:v>
      </x:c>
      <x:c r="M22" s="28" t="n">
        <x:f>G22+Parametreler!$B$4*K22*D22</x:f>
        <x:v>0.33906395872997486</x:v>
      </x:c>
      <x:c r="N22" s="28" t="n">
        <x:f>H22+Parametreler!$B$4*K22*E22</x:f>
        <x:v>0.27915828111007457</x:v>
      </x:c>
      <x:c r="O22" s="28" t="n">
        <x:f>I22+Parametreler!$B$4*K22</x:f>
        <x:v>-0.32635146741593585</x:v>
      </x:c>
    </x:row>
    <x:row r="23">
      <x:c r="A23" t="n">
        <x:f>ROW()-4</x:f>
        <x:v>19</x:v>
      </x:c>
      <x:c r="B23" t="n">
        <x:f>INT((A23-1)/Parametreler!$B$9)+1</x:f>
        <x:v>5</x:v>
      </x:c>
      <x:c r="C23" t="n">
        <x:f>MOD(A23-1,Parametreler!$B$9)+1</x:f>
        <x:v>3</x:v>
      </x:c>
      <x:c r="D23" t="n">
        <x:f>INDEX(Veri!$B$5:$B$8,C23)</x:f>
        <x:v>1</x:v>
      </x:c>
      <x:c r="E23" t="n">
        <x:f>INDEX(Veri!$C$5:$C$8,C23)</x:f>
        <x:v>-1</x:v>
      </x:c>
      <x:c r="F23" t="n">
        <x:f>INDEX(Veri!$D$5:$D$8,C23)</x:f>
        <x:v>-1</x:v>
      </x:c>
      <x:c r="G23" s="28" t="n">
        <x:f>M22</x:f>
        <x:v>0.33906395872997486</x:v>
      </x:c>
      <x:c r="H23" s="28" t="n">
        <x:f>N22</x:f>
        <x:v>0.27915828111007457</x:v>
      </x:c>
      <x:c r="I23" s="28" t="n">
        <x:f>O22</x:f>
        <x:v>-0.32635146741593585</x:v>
      </x:c>
      <x:c r="J23" s="30" t="n">
        <x:f>G23*D23+H23*E23+I23</x:f>
        <x:v>-0.26644578979603556</x:v>
      </x:c>
      <x:c r="K23" s="30" t="n">
        <x:f>F23-J23</x:f>
        <x:v>-0.7335542102039645</x:v>
      </x:c>
      <x:c r="L23" s="30" t="n">
        <x:f>K23^2</x:f>
        <x:v>0.5381017793079621</x:v>
      </x:c>
      <x:c r="M23" s="28" t="n">
        <x:f>G23+Parametreler!$B$4*K23*D23</x:f>
        <x:v>0.3023862482197766</x:v>
      </x:c>
      <x:c r="N23" s="28" t="n">
        <x:f>H23+Parametreler!$B$4*K23*E23</x:f>
        <x:v>0.3158359916202728</x:v>
      </x:c>
      <x:c r="O23" s="28" t="n">
        <x:f>I23+Parametreler!$B$4*K23</x:f>
        <x:v>-0.3630291779261341</x:v>
      </x:c>
    </x:row>
    <x:row r="24">
      <x:c r="A24" t="n">
        <x:f>ROW()-4</x:f>
        <x:v>20</x:v>
      </x:c>
      <x:c r="B24" t="n">
        <x:f>INT((A24-1)/Parametreler!$B$9)+1</x:f>
        <x:v>5</x:v>
      </x:c>
      <x:c r="C24" t="n">
        <x:f>MOD(A24-1,Parametreler!$B$9)+1</x:f>
        <x:v>4</x:v>
      </x:c>
      <x:c r="D24" t="n">
        <x:f>INDEX(Veri!$B$5:$B$8,C24)</x:f>
        <x:v>1</x:v>
      </x:c>
      <x:c r="E24" t="n">
        <x:f>INDEX(Veri!$C$5:$C$8,C24)</x:f>
        <x:v>1</x:v>
      </x:c>
      <x:c r="F24" t="n">
        <x:f>INDEX(Veri!$D$5:$D$8,C24)</x:f>
        <x:v>1</x:v>
      </x:c>
      <x:c r="G24" s="28" t="n">
        <x:f>M23</x:f>
        <x:v>0.3023862482197766</x:v>
      </x:c>
      <x:c r="H24" s="28" t="n">
        <x:f>N23</x:f>
        <x:v>0.3158359916202728</x:v>
      </x:c>
      <x:c r="I24" s="28" t="n">
        <x:f>O23</x:f>
        <x:v>-0.3630291779261341</x:v>
      </x:c>
      <x:c r="J24" s="30" t="n">
        <x:f>G24*D24+H24*E24+I24</x:f>
        <x:v>0.25519306191391533</x:v>
      </x:c>
      <x:c r="K24" s="30" t="n">
        <x:f>F24-J24</x:f>
        <x:v>0.7448069380860847</x:v>
      </x:c>
      <x:c r="L24" s="30" t="n">
        <x:f>K24^2</x:f>
        <x:v>0.5547373750211687</x:v>
      </x:c>
      <x:c r="M24" s="28" t="n">
        <x:f>G24+Parametreler!$B$4*K24*D24</x:f>
        <x:v>0.33962659512408083</x:v>
      </x:c>
      <x:c r="N24" s="28" t="n">
        <x:f>H24+Parametreler!$B$4*K24*E24</x:f>
        <x:v>0.35307633852457704</x:v>
      </x:c>
      <x:c r="O24" s="28" t="n">
        <x:f>I24+Parametreler!$B$4*K24</x:f>
        <x:v>-0.32578883102182987</x:v>
      </x:c>
    </x:row>
    <x:row r="25">
      <x:c r="A25" t="n">
        <x:f>ROW()-4</x:f>
        <x:v>21</x:v>
      </x:c>
      <x:c r="B25" t="n">
        <x:f>INT((A25-1)/Parametreler!$B$9)+1</x:f>
        <x:v>6</x:v>
      </x:c>
      <x:c r="C25" t="n">
        <x:f>MOD(A25-1,Parametreler!$B$9)+1</x:f>
        <x:v>1</x:v>
      </x:c>
      <x:c r="D25" t="n">
        <x:f>INDEX(Veri!$B$5:$B$8,C25)</x:f>
        <x:v>-1</x:v>
      </x:c>
      <x:c r="E25" t="n">
        <x:f>INDEX(Veri!$C$5:$C$8,C25)</x:f>
        <x:v>-1</x:v>
      </x:c>
      <x:c r="F25" t="n">
        <x:f>INDEX(Veri!$D$5:$D$8,C25)</x:f>
        <x:v>-1</x:v>
      </x:c>
      <x:c r="G25" s="28" t="n">
        <x:f>M24</x:f>
        <x:v>0.33962659512408083</x:v>
      </x:c>
      <x:c r="H25" s="28" t="n">
        <x:f>N24</x:f>
        <x:v>0.35307633852457704</x:v>
      </x:c>
      <x:c r="I25" s="28" t="n">
        <x:f>O24</x:f>
        <x:v>-0.32578883102182987</x:v>
      </x:c>
      <x:c r="J25" s="30" t="n">
        <x:f>G25*D25+H25*E25+I25</x:f>
        <x:v>-1.0184917646704879</x:v>
      </x:c>
      <x:c r="K25" s="30" t="n">
        <x:f>F25-J25</x:f>
        <x:v>0.018491764670487854</x:v>
      </x:c>
      <x:c r="L25" s="30" t="n">
        <x:f>K25^2</x:f>
        <x:v>0.00034194536062870276</x:v>
      </x:c>
      <x:c r="M25" s="28" t="n">
        <x:f>G25+Parametreler!$B$4*K25*D25</x:f>
        <x:v>0.33870200689055646</x:v>
      </x:c>
      <x:c r="N25" s="28" t="n">
        <x:f>H25+Parametreler!$B$4*K25*E25</x:f>
        <x:v>0.35215175029105267</x:v>
      </x:c>
      <x:c r="O25" s="28" t="n">
        <x:f>I25+Parametreler!$B$4*K25</x:f>
        <x:v>-0.3248642427883055</x:v>
      </x:c>
    </x:row>
    <x:row r="26">
      <x:c r="A26" t="n">
        <x:f>ROW()-4</x:f>
        <x:v>22</x:v>
      </x:c>
      <x:c r="B26" t="n">
        <x:f>INT((A26-1)/Parametreler!$B$9)+1</x:f>
        <x:v>6</x:v>
      </x:c>
      <x:c r="C26" t="n">
        <x:f>MOD(A26-1,Parametreler!$B$9)+1</x:f>
        <x:v>2</x:v>
      </x:c>
      <x:c r="D26" t="n">
        <x:f>INDEX(Veri!$B$5:$B$8,C26)</x:f>
        <x:v>-1</x:v>
      </x:c>
      <x:c r="E26" t="n">
        <x:f>INDEX(Veri!$C$5:$C$8,C26)</x:f>
        <x:v>1</x:v>
      </x:c>
      <x:c r="F26" t="n">
        <x:f>INDEX(Veri!$D$5:$D$8,C26)</x:f>
        <x:v>-1</x:v>
      </x:c>
      <x:c r="G26" s="28" t="n">
        <x:f>M25</x:f>
        <x:v>0.33870200689055646</x:v>
      </x:c>
      <x:c r="H26" s="28" t="n">
        <x:f>N25</x:f>
        <x:v>0.35215175029105267</x:v>
      </x:c>
      <x:c r="I26" s="28" t="n">
        <x:f>O25</x:f>
        <x:v>-0.3248642427883055</x:v>
      </x:c>
      <x:c r="J26" s="30" t="n">
        <x:f>G26*D26+H26*E26+I26</x:f>
        <x:v>-0.3114144993878093</x:v>
      </x:c>
      <x:c r="K26" s="30" t="n">
        <x:f>F26-J26</x:f>
        <x:v>-0.6885855006121907</x:v>
      </x:c>
      <x:c r="L26" s="30" t="n">
        <x:f>K26^2</x:f>
        <x:v>0.47414999165334126</x:v>
      </x:c>
      <x:c r="M26" s="28" t="n">
        <x:f>G26+Parametreler!$B$4*K26*D26</x:f>
        <x:v>0.373131281921166</x:v>
      </x:c>
      <x:c r="N26" s="28" t="n">
        <x:f>H26+Parametreler!$B$4*K26*E26</x:f>
        <x:v>0.3177224752604431</x:v>
      </x:c>
      <x:c r="O26" s="28" t="n">
        <x:f>I26+Parametreler!$B$4*K26</x:f>
        <x:v>-0.35929351781891505</x:v>
      </x:c>
    </x:row>
    <x:row r="27">
      <x:c r="A27" t="n">
        <x:f>ROW()-4</x:f>
        <x:v>23</x:v>
      </x:c>
      <x:c r="B27" t="n">
        <x:f>INT((A27-1)/Parametreler!$B$9)+1</x:f>
        <x:v>6</x:v>
      </x:c>
      <x:c r="C27" t="n">
        <x:f>MOD(A27-1,Parametreler!$B$9)+1</x:f>
        <x:v>3</x:v>
      </x:c>
      <x:c r="D27" t="n">
        <x:f>INDEX(Veri!$B$5:$B$8,C27)</x:f>
        <x:v>1</x:v>
      </x:c>
      <x:c r="E27" t="n">
        <x:f>INDEX(Veri!$C$5:$C$8,C27)</x:f>
        <x:v>-1</x:v>
      </x:c>
      <x:c r="F27" t="n">
        <x:f>INDEX(Veri!$D$5:$D$8,C27)</x:f>
        <x:v>-1</x:v>
      </x:c>
      <x:c r="G27" s="28" t="n">
        <x:f>M26</x:f>
        <x:v>0.373131281921166</x:v>
      </x:c>
      <x:c r="H27" s="28" t="n">
        <x:f>N26</x:f>
        <x:v>0.3177224752604431</x:v>
      </x:c>
      <x:c r="I27" s="28" t="n">
        <x:f>O26</x:f>
        <x:v>-0.35929351781891505</x:v>
      </x:c>
      <x:c r="J27" s="30" t="n">
        <x:f>G27*D27+H27*E27+I27</x:f>
        <x:v>-0.30388471115819216</x:v>
      </x:c>
      <x:c r="K27" s="30" t="n">
        <x:f>F27-J27</x:f>
        <x:v>-0.6961152888418078</x:v>
      </x:c>
      <x:c r="L27" s="30" t="n">
        <x:f>K27^2</x:f>
        <x:v>0.4845764953593136</x:v>
      </x:c>
      <x:c r="M27" s="28" t="n">
        <x:f>G27+Parametreler!$B$4*K27*D27</x:f>
        <x:v>0.33832551747907563</x:v>
      </x:c>
      <x:c r="N27" s="28" t="n">
        <x:f>H27+Parametreler!$B$4*K27*E27</x:f>
        <x:v>0.3525282397025335</x:v>
      </x:c>
      <x:c r="O27" s="28" t="n">
        <x:f>I27+Parametreler!$B$4*K27</x:f>
        <x:v>-0.39409928226100543</x:v>
      </x:c>
    </x:row>
    <x:row r="28">
      <x:c r="A28" t="n">
        <x:f>ROW()-4</x:f>
        <x:v>24</x:v>
      </x:c>
      <x:c r="B28" t="n">
        <x:f>INT((A28-1)/Parametreler!$B$9)+1</x:f>
        <x:v>6</x:v>
      </x:c>
      <x:c r="C28" t="n">
        <x:f>MOD(A28-1,Parametreler!$B$9)+1</x:f>
        <x:v>4</x:v>
      </x:c>
      <x:c r="D28" t="n">
        <x:f>INDEX(Veri!$B$5:$B$8,C28)</x:f>
        <x:v>1</x:v>
      </x:c>
      <x:c r="E28" t="n">
        <x:f>INDEX(Veri!$C$5:$C$8,C28)</x:f>
        <x:v>1</x:v>
      </x:c>
      <x:c r="F28" t="n">
        <x:f>INDEX(Veri!$D$5:$D$8,C28)</x:f>
        <x:v>1</x:v>
      </x:c>
      <x:c r="G28" s="28" t="n">
        <x:f>M27</x:f>
        <x:v>0.33832551747907563</x:v>
      </x:c>
      <x:c r="H28" s="28" t="n">
        <x:f>N27</x:f>
        <x:v>0.3525282397025335</x:v>
      </x:c>
      <x:c r="I28" s="28" t="n">
        <x:f>O27</x:f>
        <x:v>-0.39409928226100543</x:v>
      </x:c>
      <x:c r="J28" s="30" t="n">
        <x:f>G28*D28+H28*E28+I28</x:f>
        <x:v>0.2967544749206037</x:v>
      </x:c>
      <x:c r="K28" s="30" t="n">
        <x:f>F28-J28</x:f>
        <x:v>0.7032455250793963</x:v>
      </x:c>
      <x:c r="L28" s="30" t="n">
        <x:f>K28^2</x:f>
        <x:v>0.4945542685441958</x:v>
      </x:c>
      <x:c r="M28" s="28" t="n">
        <x:f>G28+Parametreler!$B$4*K28*D28</x:f>
        <x:v>0.37348779373304547</x:v>
      </x:c>
      <x:c r="N28" s="28" t="n">
        <x:f>H28+Parametreler!$B$4*K28*E28</x:f>
        <x:v>0.38769051595650333</x:v>
      </x:c>
      <x:c r="O28" s="28" t="n">
        <x:f>I28+Parametreler!$B$4*K28</x:f>
        <x:v>-0.3589370060070356</x:v>
      </x:c>
    </x:row>
    <x:row r="29">
      <x:c r="A29" t="n">
        <x:f>ROW()-4</x:f>
        <x:v>25</x:v>
      </x:c>
      <x:c r="B29" t="n">
        <x:f>INT((A29-1)/Parametreler!$B$9)+1</x:f>
        <x:v>7</x:v>
      </x:c>
      <x:c r="C29" t="n">
        <x:f>MOD(A29-1,Parametreler!$B$9)+1</x:f>
        <x:v>1</x:v>
      </x:c>
      <x:c r="D29" t="n">
        <x:f>INDEX(Veri!$B$5:$B$8,C29)</x:f>
        <x:v>-1</x:v>
      </x:c>
      <x:c r="E29" t="n">
        <x:f>INDEX(Veri!$C$5:$C$8,C29)</x:f>
        <x:v>-1</x:v>
      </x:c>
      <x:c r="F29" t="n">
        <x:f>INDEX(Veri!$D$5:$D$8,C29)</x:f>
        <x:v>-1</x:v>
      </x:c>
      <x:c r="G29" s="28" t="n">
        <x:f>M28</x:f>
        <x:v>0.37348779373304547</x:v>
      </x:c>
      <x:c r="H29" s="28" t="n">
        <x:f>N28</x:f>
        <x:v>0.38769051595650333</x:v>
      </x:c>
      <x:c r="I29" s="28" t="n">
        <x:f>O28</x:f>
        <x:v>-0.3589370060070356</x:v>
      </x:c>
      <x:c r="J29" s="30" t="n">
        <x:f>G29*D29+H29*E29+I29</x:f>
        <x:v>-1.1201153156965844</x:v>
      </x:c>
      <x:c r="K29" s="30" t="n">
        <x:f>F29-J29</x:f>
        <x:v>0.1201153156965844</x:v>
      </x:c>
      <x:c r="L29" s="30" t="n">
        <x:f>K29^2</x:f>
        <x:v>0.014427689064890135</x:v>
      </x:c>
      <x:c r="M29" s="28" t="n">
        <x:f>G29+Parametreler!$B$4*K29*D29</x:f>
        <x:v>0.36748202794821627</x:v>
      </x:c>
      <x:c r="N29" s="28" t="n">
        <x:f>H29+Parametreler!$B$4*K29*E29</x:f>
        <x:v>0.38168475017167414</x:v>
      </x:c>
      <x:c r="O29" s="28" t="n">
        <x:f>I29+Parametreler!$B$4*K29</x:f>
        <x:v>-0.3529312402222064</x:v>
      </x:c>
    </x:row>
    <x:row r="30">
      <x:c r="A30" t="n">
        <x:f>ROW()-4</x:f>
        <x:v>26</x:v>
      </x:c>
      <x:c r="B30" t="n">
        <x:f>INT((A30-1)/Parametreler!$B$9)+1</x:f>
        <x:v>7</x:v>
      </x:c>
      <x:c r="C30" t="n">
        <x:f>MOD(A30-1,Parametreler!$B$9)+1</x:f>
        <x:v>2</x:v>
      </x:c>
      <x:c r="D30" t="n">
        <x:f>INDEX(Veri!$B$5:$B$8,C30)</x:f>
        <x:v>-1</x:v>
      </x:c>
      <x:c r="E30" t="n">
        <x:f>INDEX(Veri!$C$5:$C$8,C30)</x:f>
        <x:v>1</x:v>
      </x:c>
      <x:c r="F30" t="n">
        <x:f>INDEX(Veri!$D$5:$D$8,C30)</x:f>
        <x:v>-1</x:v>
      </x:c>
      <x:c r="G30" s="28" t="n">
        <x:f>M29</x:f>
        <x:v>0.36748202794821627</x:v>
      </x:c>
      <x:c r="H30" s="28" t="n">
        <x:f>N29</x:f>
        <x:v>0.38168475017167414</x:v>
      </x:c>
      <x:c r="I30" s="28" t="n">
        <x:f>O29</x:f>
        <x:v>-0.3529312402222064</x:v>
      </x:c>
      <x:c r="J30" s="30" t="n">
        <x:f>G30*D30+H30*E30+I30</x:f>
        <x:v>-0.33872851799874854</x:v>
      </x:c>
      <x:c r="K30" s="30" t="n">
        <x:f>F30-J30</x:f>
        <x:v>-0.6612714820012515</x:v>
      </x:c>
      <x:c r="L30" s="30" t="n">
        <x:f>K30^2</x:f>
        <x:v>0.43727997290813153</x:v>
      </x:c>
      <x:c r="M30" s="28" t="n">
        <x:f>G30+Parametreler!$B$4*K30*D30</x:f>
        <x:v>0.4005456020482788</x:v>
      </x:c>
      <x:c r="N30" s="28" t="n">
        <x:f>H30+Parametreler!$B$4*K30*E30</x:f>
        <x:v>0.3486211760716116</x:v>
      </x:c>
      <x:c r="O30" s="28" t="n">
        <x:f>I30+Parametreler!$B$4*K30</x:f>
        <x:v>-0.38599481432226895</x:v>
      </x:c>
    </x:row>
    <x:row r="31">
      <x:c r="A31" t="n">
        <x:f>ROW()-4</x:f>
        <x:v>27</x:v>
      </x:c>
      <x:c r="B31" t="n">
        <x:f>INT((A31-1)/Parametreler!$B$9)+1</x:f>
        <x:v>7</x:v>
      </x:c>
      <x:c r="C31" t="n">
        <x:f>MOD(A31-1,Parametreler!$B$9)+1</x:f>
        <x:v>3</x:v>
      </x:c>
      <x:c r="D31" t="n">
        <x:f>INDEX(Veri!$B$5:$B$8,C31)</x:f>
        <x:v>1</x:v>
      </x:c>
      <x:c r="E31" t="n">
        <x:f>INDEX(Veri!$C$5:$C$8,C31)</x:f>
        <x:v>-1</x:v>
      </x:c>
      <x:c r="F31" t="n">
        <x:f>INDEX(Veri!$D$5:$D$8,C31)</x:f>
        <x:v>-1</x:v>
      </x:c>
      <x:c r="G31" s="28" t="n">
        <x:f>M30</x:f>
        <x:v>0.4005456020482788</x:v>
      </x:c>
      <x:c r="H31" s="28" t="n">
        <x:f>N30</x:f>
        <x:v>0.3486211760716116</x:v>
      </x:c>
      <x:c r="I31" s="28" t="n">
        <x:f>O30</x:f>
        <x:v>-0.38599481432226895</x:v>
      </x:c>
      <x:c r="J31" s="30" t="n">
        <x:f>G31*D31+H31*E31+I31</x:f>
        <x:v>-0.3340703883456017</x:v>
      </x:c>
      <x:c r="K31" s="30" t="n">
        <x:f>F31-J31</x:f>
        <x:v>-0.6659296116543982</x:v>
      </x:c>
      <x:c r="L31" s="30" t="n">
        <x:f>K31^2</x:f>
        <x:v>0.44346224767817766</x:v>
      </x:c>
      <x:c r="M31" s="28" t="n">
        <x:f>G31+Parametreler!$B$4*K31*D31</x:f>
        <x:v>0.36724912146555894</x:v>
      </x:c>
      <x:c r="N31" s="28" t="n">
        <x:f>H31+Parametreler!$B$4*K31*E31</x:f>
        <x:v>0.38191765665433147</x:v>
      </x:c>
      <x:c r="O31" s="28" t="n">
        <x:f>I31+Parametreler!$B$4*K31</x:f>
        <x:v>-0.41929129490498884</x:v>
      </x:c>
    </x:row>
    <x:row r="32">
      <x:c r="A32" t="n">
        <x:f>ROW()-4</x:f>
        <x:v>28</x:v>
      </x:c>
      <x:c r="B32" t="n">
        <x:f>INT((A32-1)/Parametreler!$B$9)+1</x:f>
        <x:v>7</x:v>
      </x:c>
      <x:c r="C32" t="n">
        <x:f>MOD(A32-1,Parametreler!$B$9)+1</x:f>
        <x:v>4</x:v>
      </x:c>
      <x:c r="D32" t="n">
        <x:f>INDEX(Veri!$B$5:$B$8,C32)</x:f>
        <x:v>1</x:v>
      </x:c>
      <x:c r="E32" t="n">
        <x:f>INDEX(Veri!$C$5:$C$8,C32)</x:f>
        <x:v>1</x:v>
      </x:c>
      <x:c r="F32" t="n">
        <x:f>INDEX(Veri!$D$5:$D$8,C32)</x:f>
        <x:v>1</x:v>
      </x:c>
      <x:c r="G32" s="28" t="n">
        <x:f>M31</x:f>
        <x:v>0.36724912146555894</x:v>
      </x:c>
      <x:c r="H32" s="28" t="n">
        <x:f>N31</x:f>
        <x:v>0.38191765665433147</x:v>
      </x:c>
      <x:c r="I32" s="28" t="n">
        <x:f>O31</x:f>
        <x:v>-0.41929129490498884</x:v>
      </x:c>
      <x:c r="J32" s="30" t="n">
        <x:f>G32*D32+H32*E32+I32</x:f>
        <x:v>0.32987548321490157</x:v>
      </x:c>
      <x:c r="K32" s="30" t="n">
        <x:f>F32-J32</x:f>
        <x:v>0.6701245167850984</x:v>
      </x:c>
      <x:c r="L32" s="30" t="n">
        <x:f>K32^2</x:f>
        <x:v>0.44906686799646167</x:v>
      </x:c>
      <x:c r="M32" s="28" t="n">
        <x:f>G32+Parametreler!$B$4*K32*D32</x:f>
        <x:v>0.4007553473048139</x:v>
      </x:c>
      <x:c r="N32" s="28" t="n">
        <x:f>H32+Parametreler!$B$4*K32*E32</x:f>
        <x:v>0.4154238824935864</x:v>
      </x:c>
      <x:c r="O32" s="28" t="n">
        <x:f>I32+Parametreler!$B$4*K32</x:f>
        <x:v>-0.3857850690657339</x:v>
      </x:c>
    </x:row>
    <x:row r="33">
      <x:c r="A33" t="n">
        <x:f>ROW()-4</x:f>
        <x:v>29</x:v>
      </x:c>
      <x:c r="B33" t="n">
        <x:f>INT((A33-1)/Parametreler!$B$9)+1</x:f>
        <x:v>8</x:v>
      </x:c>
      <x:c r="C33" t="n">
        <x:f>MOD(A33-1,Parametreler!$B$9)+1</x:f>
        <x:v>1</x:v>
      </x:c>
      <x:c r="D33" t="n">
        <x:f>INDEX(Veri!$B$5:$B$8,C33)</x:f>
        <x:v>-1</x:v>
      </x:c>
      <x:c r="E33" t="n">
        <x:f>INDEX(Veri!$C$5:$C$8,C33)</x:f>
        <x:v>-1</x:v>
      </x:c>
      <x:c r="F33" t="n">
        <x:f>INDEX(Veri!$D$5:$D$8,C33)</x:f>
        <x:v>-1</x:v>
      </x:c>
      <x:c r="G33" s="28" t="n">
        <x:f>M32</x:f>
        <x:v>0.4007553473048139</x:v>
      </x:c>
      <x:c r="H33" s="28" t="n">
        <x:f>N32</x:f>
        <x:v>0.4154238824935864</x:v>
      </x:c>
      <x:c r="I33" s="28" t="n">
        <x:f>O32</x:f>
        <x:v>-0.3857850690657339</x:v>
      </x:c>
      <x:c r="J33" s="30" t="n">
        <x:f>G33*D33+H33*E33+I33</x:f>
        <x:v>-1.2019642988641341</x:v>
      </x:c>
      <x:c r="K33" s="30" t="n">
        <x:f>F33-J33</x:f>
        <x:v>0.20196429886413414</x:v>
      </x:c>
      <x:c r="L33" s="30" t="n">
        <x:f>K33^2</x:f>
        <x:v>0.040789578015681296</x:v>
      </x:c>
      <x:c r="M33" s="28" t="n">
        <x:f>G33+Parametreler!$B$4*K33*D33</x:f>
        <x:v>0.39065713236160715</x:v>
      </x:c>
      <x:c r="N33" s="28" t="n">
        <x:f>H33+Parametreler!$B$4*K33*E33</x:f>
        <x:v>0.4053256675503797</x:v>
      </x:c>
      <x:c r="O33" s="28" t="n">
        <x:f>I33+Parametreler!$B$4*K33</x:f>
        <x:v>-0.37568685412252717</x:v>
      </x:c>
    </x:row>
    <x:row r="34">
      <x:c r="A34" t="n">
        <x:f>ROW()-4</x:f>
        <x:v>30</x:v>
      </x:c>
      <x:c r="B34" t="n">
        <x:f>INT((A34-1)/Parametreler!$B$9)+1</x:f>
        <x:v>8</x:v>
      </x:c>
      <x:c r="C34" t="n">
        <x:f>MOD(A34-1,Parametreler!$B$9)+1</x:f>
        <x:v>2</x:v>
      </x:c>
      <x:c r="D34" t="n">
        <x:f>INDEX(Veri!$B$5:$B$8,C34)</x:f>
        <x:v>-1</x:v>
      </x:c>
      <x:c r="E34" t="n">
        <x:f>INDEX(Veri!$C$5:$C$8,C34)</x:f>
        <x:v>1</x:v>
      </x:c>
      <x:c r="F34" t="n">
        <x:f>INDEX(Veri!$D$5:$D$8,C34)</x:f>
        <x:v>-1</x:v>
      </x:c>
      <x:c r="G34" s="28" t="n">
        <x:f>M33</x:f>
        <x:v>0.39065713236160715</x:v>
      </x:c>
      <x:c r="H34" s="28" t="n">
        <x:f>N33</x:f>
        <x:v>0.4053256675503797</x:v>
      </x:c>
      <x:c r="I34" s="28" t="n">
        <x:f>O33</x:f>
        <x:v>-0.37568685412252717</x:v>
      </x:c>
      <x:c r="J34" s="30" t="n">
        <x:f>G34*D34+H34*E34+I34</x:f>
        <x:v>-0.36101831893375463</x:v>
      </x:c>
      <x:c r="K34" s="30" t="n">
        <x:f>F34-J34</x:f>
        <x:v>-0.6389816810662454</x:v>
      </x:c>
      <x:c r="L34" s="30" t="n">
        <x:f>K34^2</x:f>
        <x:v>0.408297588738245</x:v>
      </x:c>
      <x:c r="M34" s="28" t="n">
        <x:f>G34+Parametreler!$B$4*K34*D34</x:f>
        <x:v>0.4226062164149194</x:v>
      </x:c>
      <x:c r="N34" s="28" t="n">
        <x:f>H34+Parametreler!$B$4*K34*E34</x:f>
        <x:v>0.3733765834970674</x:v>
      </x:c>
      <x:c r="O34" s="28" t="n">
        <x:f>I34+Parametreler!$B$4*K34</x:f>
        <x:v>-0.40763593817583943</x:v>
      </x:c>
    </x:row>
    <x:row r="35">
      <x:c r="A35" t="n">
        <x:f>ROW()-4</x:f>
        <x:v>31</x:v>
      </x:c>
      <x:c r="B35" t="n">
        <x:f>INT((A35-1)/Parametreler!$B$9)+1</x:f>
        <x:v>8</x:v>
      </x:c>
      <x:c r="C35" t="n">
        <x:f>MOD(A35-1,Parametreler!$B$9)+1</x:f>
        <x:v>3</x:v>
      </x:c>
      <x:c r="D35" t="n">
        <x:f>INDEX(Veri!$B$5:$B$8,C35)</x:f>
        <x:v>1</x:v>
      </x:c>
      <x:c r="E35" t="n">
        <x:f>INDEX(Veri!$C$5:$C$8,C35)</x:f>
        <x:v>-1</x:v>
      </x:c>
      <x:c r="F35" t="n">
        <x:f>INDEX(Veri!$D$5:$D$8,C35)</x:f>
        <x:v>-1</x:v>
      </x:c>
      <x:c r="G35" s="28" t="n">
        <x:f>M34</x:f>
        <x:v>0.4226062164149194</x:v>
      </x:c>
      <x:c r="H35" s="28" t="n">
        <x:f>N34</x:f>
        <x:v>0.3733765834970674</x:v>
      </x:c>
      <x:c r="I35" s="28" t="n">
        <x:f>O34</x:f>
        <x:v>-0.40763593817583943</x:v>
      </x:c>
      <x:c r="J35" s="30" t="n">
        <x:f>G35*D35+H35*E35+I35</x:f>
        <x:v>-0.35840630525798745</x:v>
      </x:c>
      <x:c r="K35" s="30" t="n">
        <x:f>F35-J35</x:f>
        <x:v>-0.6415936947420126</x:v>
      </x:c>
      <x:c r="L35" s="30" t="n">
        <x:f>K35^2</x:f>
        <x:v>0.4116424691327068</x:v>
      </x:c>
      <x:c r="M35" s="28" t="n">
        <x:f>G35+Parametreler!$B$4*K35*D35</x:f>
        <x:v>0.3905265316778188</x:v>
      </x:c>
      <x:c r="N35" s="28" t="n">
        <x:f>H35+Parametreler!$B$4*K35*E35</x:f>
        <x:v>0.405456268234168</x:v>
      </x:c>
      <x:c r="O35" s="28" t="n">
        <x:f>I35+Parametreler!$B$4*K35</x:f>
        <x:v>-0.4397156229129401</x:v>
      </x:c>
    </x:row>
    <x:row r="36">
      <x:c r="A36" t="n">
        <x:f>ROW()-4</x:f>
        <x:v>32</x:v>
      </x:c>
      <x:c r="B36" t="n">
        <x:f>INT((A36-1)/Parametreler!$B$9)+1</x:f>
        <x:v>8</x:v>
      </x:c>
      <x:c r="C36" t="n">
        <x:f>MOD(A36-1,Parametreler!$B$9)+1</x:f>
        <x:v>4</x:v>
      </x:c>
      <x:c r="D36" t="n">
        <x:f>INDEX(Veri!$B$5:$B$8,C36)</x:f>
        <x:v>1</x:v>
      </x:c>
      <x:c r="E36" t="n">
        <x:f>INDEX(Veri!$C$5:$C$8,C36)</x:f>
        <x:v>1</x:v>
      </x:c>
      <x:c r="F36" t="n">
        <x:f>INDEX(Veri!$D$5:$D$8,C36)</x:f>
        <x:v>1</x:v>
      </x:c>
      <x:c r="G36" s="28" t="n">
        <x:f>M35</x:f>
        <x:v>0.3905265316778188</x:v>
      </x:c>
      <x:c r="H36" s="28" t="n">
        <x:f>N35</x:f>
        <x:v>0.405456268234168</x:v>
      </x:c>
      <x:c r="I36" s="28" t="n">
        <x:f>O35</x:f>
        <x:v>-0.4397156229129401</x:v>
      </x:c>
      <x:c r="J36" s="30" t="n">
        <x:f>G36*D36+H36*E36+I36</x:f>
        <x:v>0.35626717699904675</x:v>
      </x:c>
      <x:c r="K36" s="30" t="n">
        <x:f>F36-J36</x:f>
        <x:v>0.6437328230009532</x:v>
      </x:c>
      <x:c r="L36" s="30" t="n">
        <x:f>K36^2</x:f>
        <x:v>0.4143919474087766</x:v>
      </x:c>
      <x:c r="M36" s="28" t="n">
        <x:f>G36+Parametreler!$B$4*K36*D36</x:f>
        <x:v>0.42271317282786647</x:v>
      </x:c>
      <x:c r="N36" s="28" t="n">
        <x:f>H36+Parametreler!$B$4*K36*E36</x:f>
        <x:v>0.4376429093842157</x:v>
      </x:c>
      <x:c r="O36" s="28" t="n">
        <x:f>I36+Parametreler!$B$4*K36</x:f>
        <x:v>-0.40752898176289243</x:v>
      </x:c>
    </x:row>
    <x:row r="37">
      <x:c r="A37" t="n">
        <x:f>ROW()-4</x:f>
        <x:v>33</x:v>
      </x:c>
      <x:c r="B37" t="n">
        <x:f>INT((A37-1)/Parametreler!$B$9)+1</x:f>
        <x:v>9</x:v>
      </x:c>
      <x:c r="C37" t="n">
        <x:f>MOD(A37-1,Parametreler!$B$9)+1</x:f>
        <x:v>1</x:v>
      </x:c>
      <x:c r="D37" t="n">
        <x:f>INDEX(Veri!$B$5:$B$8,C37)</x:f>
        <x:v>-1</x:v>
      </x:c>
      <x:c r="E37" t="n">
        <x:f>INDEX(Veri!$C$5:$C$8,C37)</x:f>
        <x:v>-1</x:v>
      </x:c>
      <x:c r="F37" t="n">
        <x:f>INDEX(Veri!$D$5:$D$8,C37)</x:f>
        <x:v>-1</x:v>
      </x:c>
      <x:c r="G37" s="28" t="n">
        <x:f>M36</x:f>
        <x:v>0.42271317282786647</x:v>
      </x:c>
      <x:c r="H37" s="28" t="n">
        <x:f>N36</x:f>
        <x:v>0.4376429093842157</x:v>
      </x:c>
      <x:c r="I37" s="28" t="n">
        <x:f>O36</x:f>
        <x:v>-0.40752898176289243</x:v>
      </x:c>
      <x:c r="J37" s="30" t="n">
        <x:f>G37*D37+H37*E37+I37</x:f>
        <x:v>-1.2678850639749746</x:v>
      </x:c>
      <x:c r="K37" s="30" t="n">
        <x:f>F37-J37</x:f>
        <x:v>0.2678850639749746</x:v>
      </x:c>
      <x:c r="L37" s="30" t="n">
        <x:f>K37^2</x:f>
        <x:v>0.07176240750087623</x:v>
      </x:c>
      <x:c r="M37" s="28" t="n">
        <x:f>G37+Parametreler!$B$4*K37*D37</x:f>
        <x:v>0.40931891962911776</x:v>
      </x:c>
      <x:c r="N37" s="28" t="n">
        <x:f>H37+Parametreler!$B$4*K37*E37</x:f>
        <x:v>0.424248656185467</x:v>
      </x:c>
      <x:c r="O37" s="28" t="n">
        <x:f>I37+Parametreler!$B$4*K37</x:f>
        <x:v>-0.3941347285641437</x:v>
      </x:c>
    </x:row>
    <x:row r="38">
      <x:c r="A38" t="n">
        <x:f>ROW()-4</x:f>
        <x:v>34</x:v>
      </x:c>
      <x:c r="B38" t="n">
        <x:f>INT((A38-1)/Parametreler!$B$9)+1</x:f>
        <x:v>9</x:v>
      </x:c>
      <x:c r="C38" t="n">
        <x:f>MOD(A38-1,Parametreler!$B$9)+1</x:f>
        <x:v>2</x:v>
      </x:c>
      <x:c r="D38" t="n">
        <x:f>INDEX(Veri!$B$5:$B$8,C38)</x:f>
        <x:v>-1</x:v>
      </x:c>
      <x:c r="E38" t="n">
        <x:f>INDEX(Veri!$C$5:$C$8,C38)</x:f>
        <x:v>1</x:v>
      </x:c>
      <x:c r="F38" t="n">
        <x:f>INDEX(Veri!$D$5:$D$8,C38)</x:f>
        <x:v>-1</x:v>
      </x:c>
      <x:c r="G38" s="28" t="n">
        <x:f>M37</x:f>
        <x:v>0.40931891962911776</x:v>
      </x:c>
      <x:c r="H38" s="28" t="n">
        <x:f>N37</x:f>
        <x:v>0.424248656185467</x:v>
      </x:c>
      <x:c r="I38" s="28" t="n">
        <x:f>O37</x:f>
        <x:v>-0.3941347285641437</x:v>
      </x:c>
      <x:c r="J38" s="30" t="n">
        <x:f>G38*D38+H38*E38+I38</x:f>
        <x:v>-0.3792049920077945</x:v>
      </x:c>
      <x:c r="K38" s="30" t="n">
        <x:f>F38-J38</x:f>
        <x:v>-0.6207950079922055</x:v>
      </x:c>
      <x:c r="L38" s="30" t="n">
        <x:f>K38^2</x:f>
        <x:v>0.38538644194804256</x:v>
      </x:c>
      <x:c r="M38" s="28" t="n">
        <x:f>G38+Parametreler!$B$4*K38*D38</x:f>
        <x:v>0.440358670028728</x:v>
      </x:c>
      <x:c r="N38" s="28" t="n">
        <x:f>H38+Parametreler!$B$4*K38*E38</x:f>
        <x:v>0.3932089057858567</x:v>
      </x:c>
      <x:c r="O38" s="28" t="n">
        <x:f>I38+Parametreler!$B$4*K38</x:f>
        <x:v>-0.425174478963754</x:v>
      </x:c>
    </x:row>
    <x:row r="39">
      <x:c r="A39" t="n">
        <x:f>ROW()-4</x:f>
        <x:v>35</x:v>
      </x:c>
      <x:c r="B39" t="n">
        <x:f>INT((A39-1)/Parametreler!$B$9)+1</x:f>
        <x:v>9</x:v>
      </x:c>
      <x:c r="C39" t="n">
        <x:f>MOD(A39-1,Parametreler!$B$9)+1</x:f>
        <x:v>3</x:v>
      </x:c>
      <x:c r="D39" t="n">
        <x:f>INDEX(Veri!$B$5:$B$8,C39)</x:f>
        <x:v>1</x:v>
      </x:c>
      <x:c r="E39" t="n">
        <x:f>INDEX(Veri!$C$5:$C$8,C39)</x:f>
        <x:v>-1</x:v>
      </x:c>
      <x:c r="F39" t="n">
        <x:f>INDEX(Veri!$D$5:$D$8,C39)</x:f>
        <x:v>-1</x:v>
      </x:c>
      <x:c r="G39" s="28" t="n">
        <x:f>M38</x:f>
        <x:v>0.440358670028728</x:v>
      </x:c>
      <x:c r="H39" s="28" t="n">
        <x:f>N38</x:f>
        <x:v>0.3932089057858567</x:v>
      </x:c>
      <x:c r="I39" s="28" t="n">
        <x:f>O38</x:f>
        <x:v>-0.425174478963754</x:v>
      </x:c>
      <x:c r="J39" s="30" t="n">
        <x:f>G39*D39+H39*E39+I39</x:f>
        <x:v>-0.37802471472088267</x:v>
      </x:c>
      <x:c r="K39" s="30" t="n">
        <x:f>F39-J39</x:f>
        <x:v>-0.6219752852791174</x:v>
      </x:c>
      <x:c r="L39" s="30" t="n">
        <x:f>K39^2</x:f>
        <x:v>0.38685325549803945</x:v>
      </x:c>
      <x:c r="M39" s="28" t="n">
        <x:f>G39+Parametreler!$B$4*K39*D39</x:f>
        <x:v>0.40925990576477217</x:v>
      </x:c>
      <x:c r="N39" s="28" t="n">
        <x:f>H39+Parametreler!$B$4*K39*E39</x:f>
        <x:v>0.42430767004981257</x:v>
      </x:c>
      <x:c r="O39" s="28" t="n">
        <x:f>I39+Parametreler!$B$4*K39</x:f>
        <x:v>-0.45627324322770985</x:v>
      </x:c>
    </x:row>
    <x:row r="40">
      <x:c r="A40" t="n">
        <x:f>ROW()-4</x:f>
        <x:v>36</x:v>
      </x:c>
      <x:c r="B40" t="n">
        <x:f>INT((A40-1)/Parametreler!$B$9)+1</x:f>
        <x:v>9</x:v>
      </x:c>
      <x:c r="C40" t="n">
        <x:f>MOD(A40-1,Parametreler!$B$9)+1</x:f>
        <x:v>4</x:v>
      </x:c>
      <x:c r="D40" t="n">
        <x:f>INDEX(Veri!$B$5:$B$8,C40)</x:f>
        <x:v>1</x:v>
      </x:c>
      <x:c r="E40" t="n">
        <x:f>INDEX(Veri!$C$5:$C$8,C40)</x:f>
        <x:v>1</x:v>
      </x:c>
      <x:c r="F40" t="n">
        <x:f>INDEX(Veri!$D$5:$D$8,C40)</x:f>
        <x:v>1</x:v>
      </x:c>
      <x:c r="G40" s="28" t="n">
        <x:f>M39</x:f>
        <x:v>0.40925990576477217</x:v>
      </x:c>
      <x:c r="H40" s="28" t="n">
        <x:f>N39</x:f>
        <x:v>0.42430767004981257</x:v>
      </x:c>
      <x:c r="I40" s="28" t="n">
        <x:f>O39</x:f>
        <x:v>-0.45627324322770985</x:v>
      </x:c>
      <x:c r="J40" s="30" t="n">
        <x:f>G40*D40+H40*E40+I40</x:f>
        <x:v>0.3772943325868749</x:v>
      </x:c>
      <x:c r="K40" s="30" t="n">
        <x:f>F40-J40</x:f>
        <x:v>0.622705667413125</x:v>
      </x:c>
      <x:c r="L40" s="30" t="n">
        <x:f>K40^2</x:f>
        <x:v>0.38776234822842554</x:v>
      </x:c>
      <x:c r="M40" s="28" t="n">
        <x:f>G40+Parametreler!$B$4*K40*D40</x:f>
        <x:v>0.4403951891354284</x:v>
      </x:c>
      <x:c r="N40" s="28" t="n">
        <x:f>H40+Parametreler!$B$4*K40*E40</x:f>
        <x:v>0.4554429534204688</x:v>
      </x:c>
      <x:c r="O40" s="28" t="n">
        <x:f>I40+Parametreler!$B$4*K40</x:f>
        <x:v>-0.4251379598570536</x:v>
      </x:c>
    </x:row>
    <x:row r="41">
      <x:c r="A41" t="n">
        <x:f>ROW()-4</x:f>
        <x:v>37</x:v>
      </x:c>
      <x:c r="B41" t="n">
        <x:f>INT((A41-1)/Parametreler!$B$9)+1</x:f>
        <x:v>10</x:v>
      </x:c>
      <x:c r="C41" t="n">
        <x:f>MOD(A41-1,Parametreler!$B$9)+1</x:f>
        <x:v>1</x:v>
      </x:c>
      <x:c r="D41" t="n">
        <x:f>INDEX(Veri!$B$5:$B$8,C41)</x:f>
        <x:v>-1</x:v>
      </x:c>
      <x:c r="E41" t="n">
        <x:f>INDEX(Veri!$C$5:$C$8,C41)</x:f>
        <x:v>-1</x:v>
      </x:c>
      <x:c r="F41" t="n">
        <x:f>INDEX(Veri!$D$5:$D$8,C41)</x:f>
        <x:v>-1</x:v>
      </x:c>
      <x:c r="G41" s="28" t="n">
        <x:f>M40</x:f>
        <x:v>0.4403951891354284</x:v>
      </x:c>
      <x:c r="H41" s="28" t="n">
        <x:f>N40</x:f>
        <x:v>0.4554429534204688</x:v>
      </x:c>
      <x:c r="I41" s="28" t="n">
        <x:f>O40</x:f>
        <x:v>-0.4251379598570536</x:v>
      </x:c>
      <x:c r="J41" s="30" t="n">
        <x:f>G41*D41+H41*E41+I41</x:f>
        <x:v>-1.320976102412951</x:v>
      </x:c>
      <x:c r="K41" s="30" t="n">
        <x:f>F41-J41</x:f>
        <x:v>0.32097610241295094</x:v>
      </x:c>
      <x:c r="L41" s="30" t="n">
        <x:f>K41^2</x:f>
        <x:v>0.10302565832020917</x:v>
      </x:c>
      <x:c r="M41" s="28" t="n">
        <x:f>G41+Parametreler!$B$4*K41*D41</x:f>
        <x:v>0.42434638401478086</x:v>
      </x:c>
      <x:c r="N41" s="28" t="n">
        <x:f>H41+Parametreler!$B$4*K41*E41</x:f>
        <x:v>0.43939414829982126</x:v>
      </x:c>
      <x:c r="O41" s="28" t="n">
        <x:f>I41+Parametreler!$B$4*K41</x:f>
        <x:v>-0.40908915473640606</x:v>
      </x:c>
    </x:row>
    <x:row r="42">
      <x:c r="A42" t="n">
        <x:f>ROW()-4</x:f>
        <x:v>38</x:v>
      </x:c>
      <x:c r="B42" t="n">
        <x:f>INT((A42-1)/Parametreler!$B$9)+1</x:f>
        <x:v>10</x:v>
      </x:c>
      <x:c r="C42" t="n">
        <x:f>MOD(A42-1,Parametreler!$B$9)+1</x:f>
        <x:v>2</x:v>
      </x:c>
      <x:c r="D42" t="n">
        <x:f>INDEX(Veri!$B$5:$B$8,C42)</x:f>
        <x:v>-1</x:v>
      </x:c>
      <x:c r="E42" t="n">
        <x:f>INDEX(Veri!$C$5:$C$8,C42)</x:f>
        <x:v>1</x:v>
      </x:c>
      <x:c r="F42" t="n">
        <x:f>INDEX(Veri!$D$5:$D$8,C42)</x:f>
        <x:v>-1</x:v>
      </x:c>
      <x:c r="G42" s="28" t="n">
        <x:f>M41</x:f>
        <x:v>0.42434638401478086</x:v>
      </x:c>
      <x:c r="H42" s="28" t="n">
        <x:f>N41</x:f>
        <x:v>0.43939414829982126</x:v>
      </x:c>
      <x:c r="I42" s="28" t="n">
        <x:f>O41</x:f>
        <x:v>-0.40908915473640606</x:v>
      </x:c>
      <x:c r="J42" s="30" t="n">
        <x:f>G42*D42+H42*E42+I42</x:f>
        <x:v>-0.39404139045136566</x:v>
      </x:c>
      <x:c r="K42" s="30" t="n">
        <x:f>F42-J42</x:f>
        <x:v>-0.6059586095486343</x:v>
      </x:c>
      <x:c r="L42" s="30" t="n">
        <x:f>K42^2</x:f>
        <x:v>0.3671858364861143</x:v>
      </x:c>
      <x:c r="M42" s="28" t="n">
        <x:f>G42+Parametreler!$B$4*K42*D42</x:f>
        <x:v>0.4546443144922126</x:v>
      </x:c>
      <x:c r="N42" s="28" t="n">
        <x:f>H42+Parametreler!$B$4*K42*E42</x:f>
        <x:v>0.40909621782238953</x:v>
      </x:c>
      <x:c r="O42" s="28" t="n">
        <x:f>I42+Parametreler!$B$4*K42</x:f>
        <x:v>-0.4393870852138378</x:v>
      </x:c>
    </x:row>
    <x:row r="43">
      <x:c r="A43" t="n">
        <x:f>ROW()-4</x:f>
        <x:v>39</x:v>
      </x:c>
      <x:c r="B43" t="n">
        <x:f>INT((A43-1)/Parametreler!$B$9)+1</x:f>
        <x:v>10</x:v>
      </x:c>
      <x:c r="C43" t="n">
        <x:f>MOD(A43-1,Parametreler!$B$9)+1</x:f>
        <x:v>3</x:v>
      </x:c>
      <x:c r="D43" t="n">
        <x:f>INDEX(Veri!$B$5:$B$8,C43)</x:f>
        <x:v>1</x:v>
      </x:c>
      <x:c r="E43" t="n">
        <x:f>INDEX(Veri!$C$5:$C$8,C43)</x:f>
        <x:v>-1</x:v>
      </x:c>
      <x:c r="F43" t="n">
        <x:f>INDEX(Veri!$D$5:$D$8,C43)</x:f>
        <x:v>-1</x:v>
      </x:c>
      <x:c r="G43" s="28" t="n">
        <x:f>M42</x:f>
        <x:v>0.4546443144922126</x:v>
      </x:c>
      <x:c r="H43" s="28" t="n">
        <x:f>N42</x:f>
        <x:v>0.40909621782238953</x:v>
      </x:c>
      <x:c r="I43" s="28" t="n">
        <x:f>O42</x:f>
        <x:v>-0.4393870852138378</x:v>
      </x:c>
      <x:c r="J43" s="30" t="n">
        <x:f>G43*D43+H43*E43+I43</x:f>
        <x:v>-0.3938389885440147</x:v>
      </x:c>
      <x:c r="K43" s="30" t="n">
        <x:f>F43-J43</x:f>
        <x:v>-0.6061610114559852</x:v>
      </x:c>
      <x:c r="L43" s="30" t="n">
        <x:f>K43^2</x:f>
        <x:v>0.36743117180934304</x:v>
      </x:c>
      <x:c r="M43" s="28" t="n">
        <x:f>G43+Parametreler!$B$4*K43*D43</x:f>
        <x:v>0.4243362639194133</x:v>
      </x:c>
      <x:c r="N43" s="28" t="n">
        <x:f>H43+Parametreler!$B$4*K43*E43</x:f>
        <x:v>0.4394042683951888</x:v>
      </x:c>
      <x:c r="O43" s="28" t="n">
        <x:f>I43+Parametreler!$B$4*K43</x:f>
        <x:v>-0.4696951357866371</x:v>
      </x:c>
    </x:row>
    <x:row r="44">
      <x:c r="A44" t="n">
        <x:f>ROW()-4</x:f>
        <x:v>40</x:v>
      </x:c>
      <x:c r="B44" t="n">
        <x:f>INT((A44-1)/Parametreler!$B$9)+1</x:f>
        <x:v>10</x:v>
      </x:c>
      <x:c r="C44" t="n">
        <x:f>MOD(A44-1,Parametreler!$B$9)+1</x:f>
        <x:v>4</x:v>
      </x:c>
      <x:c r="D44" t="n">
        <x:f>INDEX(Veri!$B$5:$B$8,C44)</x:f>
        <x:v>1</x:v>
      </x:c>
      <x:c r="E44" t="n">
        <x:f>INDEX(Veri!$C$5:$C$8,C44)</x:f>
        <x:v>1</x:v>
      </x:c>
      <x:c r="F44" t="n">
        <x:f>INDEX(Veri!$D$5:$D$8,C44)</x:f>
        <x:v>1</x:v>
      </x:c>
      <x:c r="G44" s="28" t="n">
        <x:f>M43</x:f>
        <x:v>0.4243362639194133</x:v>
      </x:c>
      <x:c r="H44" s="28" t="n">
        <x:f>N43</x:f>
        <x:v>0.4394042683951888</x:v>
      </x:c>
      <x:c r="I44" s="28" t="n">
        <x:f>O43</x:f>
        <x:v>-0.4696951357866371</x:v>
      </x:c>
      <x:c r="J44" s="30" t="n">
        <x:f>G44*D44+H44*E44+I44</x:f>
        <x:v>0.39404539652796505</x:v>
      </x:c>
      <x:c r="K44" s="30" t="n">
        <x:f>F44-J44</x:f>
        <x:v>0.6059546034720349</x:v>
      </x:c>
      <x:c r="L44" s="30" t="n">
        <x:f>K44^2</x:f>
        <x:v>0.36718098146895106</x:v>
      </x:c>
      <x:c r="M44" s="28" t="n">
        <x:f>G44+Parametreler!$B$4*K44*D44</x:f>
        <x:v>0.4546339940930151</x:v>
      </x:c>
      <x:c r="N44" s="28" t="n">
        <x:f>H44+Parametreler!$B$4*K44*E44</x:f>
        <x:v>0.4697019985687906</x:v>
      </x:c>
      <x:c r="O44" s="28" t="n">
        <x:f>I44+Parametreler!$B$4*K44</x:f>
        <x:v>-0.4393974056130353</x:v>
      </x:c>
    </x:row>
    <x:row r="45">
      <x:c r="A45" t="n">
        <x:f>ROW()-4</x:f>
        <x:v>41</x:v>
      </x:c>
      <x:c r="B45" t="n">
        <x:f>INT((A45-1)/Parametreler!$B$9)+1</x:f>
        <x:v>11</x:v>
      </x:c>
      <x:c r="C45" t="n">
        <x:f>MOD(A45-1,Parametreler!$B$9)+1</x:f>
        <x:v>1</x:v>
      </x:c>
      <x:c r="D45" t="n">
        <x:f>INDEX(Veri!$B$5:$B$8,C45)</x:f>
        <x:v>-1</x:v>
      </x:c>
      <x:c r="E45" t="n">
        <x:f>INDEX(Veri!$C$5:$C$8,C45)</x:f>
        <x:v>-1</x:v>
      </x:c>
      <x:c r="F45" t="n">
        <x:f>INDEX(Veri!$D$5:$D$8,C45)</x:f>
        <x:v>-1</x:v>
      </x:c>
      <x:c r="G45" s="28" t="n">
        <x:f>M44</x:f>
        <x:v>0.4546339940930151</x:v>
      </x:c>
      <x:c r="H45" s="28" t="n">
        <x:f>N44</x:f>
        <x:v>0.4697019985687906</x:v>
      </x:c>
      <x:c r="I45" s="28" t="n">
        <x:f>O44</x:f>
        <x:v>-0.4393974056130353</x:v>
      </x:c>
      <x:c r="J45" s="30" t="n">
        <x:f>G45*D45+H45*E45+I45</x:f>
        <x:v>-1.363733398274841</x:v>
      </x:c>
      <x:c r="K45" s="30" t="n">
        <x:f>F45-J45</x:f>
        <x:v>0.36373339827484097</x:v>
      </x:c>
      <x:c r="L45" s="30" t="n">
        <x:f>K45^2</x:f>
        <x:v>0.1323019850205641</x:v>
      </x:c>
      <x:c r="M45" s="28" t="n">
        <x:f>G45+Parametreler!$B$4*K45*D45</x:f>
        <x:v>0.436447324179273</x:v>
      </x:c>
      <x:c r="N45" s="28" t="n">
        <x:f>H45+Parametreler!$B$4*K45*E45</x:f>
        <x:v>0.4515153286550485</x:v>
      </x:c>
      <x:c r="O45" s="28" t="n">
        <x:f>I45+Parametreler!$B$4*K45</x:f>
        <x:v>-0.42121073569929324</x:v>
      </x:c>
    </x:row>
    <x:row r="46">
      <x:c r="A46" t="n">
        <x:f>ROW()-4</x:f>
        <x:v>42</x:v>
      </x:c>
      <x:c r="B46" t="n">
        <x:f>INT((A46-1)/Parametreler!$B$9)+1</x:f>
        <x:v>11</x:v>
      </x:c>
      <x:c r="C46" t="n">
        <x:f>MOD(A46-1,Parametreler!$B$9)+1</x:f>
        <x:v>2</x:v>
      </x:c>
      <x:c r="D46" t="n">
        <x:f>INDEX(Veri!$B$5:$B$8,C46)</x:f>
        <x:v>-1</x:v>
      </x:c>
      <x:c r="E46" t="n">
        <x:f>INDEX(Veri!$C$5:$C$8,C46)</x:f>
        <x:v>1</x:v>
      </x:c>
      <x:c r="F46" t="n">
        <x:f>INDEX(Veri!$D$5:$D$8,C46)</x:f>
        <x:v>-1</x:v>
      </x:c>
      <x:c r="G46" s="28" t="n">
        <x:f>M45</x:f>
        <x:v>0.436447324179273</x:v>
      </x:c>
      <x:c r="H46" s="28" t="n">
        <x:f>N45</x:f>
        <x:v>0.4515153286550485</x:v>
      </x:c>
      <x:c r="I46" s="28" t="n">
        <x:f>O45</x:f>
        <x:v>-0.42121073569929324</x:v>
      </x:c>
      <x:c r="J46" s="30" t="n">
        <x:f>G46*D46+H46*E46+I46</x:f>
        <x:v>-0.40614273122351774</x:v>
      </x:c>
      <x:c r="K46" s="30" t="n">
        <x:f>F46-J46</x:f>
        <x:v>-0.5938572687764823</x:v>
      </x:c>
      <x:c r="L46" s="30" t="n">
        <x:f>K46^2</x:f>
        <x:v>0.3526664556786631</x:v>
      </x:c>
      <x:c r="M46" s="28" t="n">
        <x:f>G46+Parametreler!$B$4*K46*D46</x:f>
        <x:v>0.4661401876180971</x:v>
      </x:c>
      <x:c r="N46" s="28" t="n">
        <x:f>H46+Parametreler!$B$4*K46*E46</x:f>
        <x:v>0.4218224652162244</x:v>
      </x:c>
      <x:c r="O46" s="28" t="n">
        <x:f>I46+Parametreler!$B$4*K46</x:f>
        <x:v>-0.45090359913811734</x:v>
      </x:c>
    </x:row>
    <x:row r="47">
      <x:c r="A47" t="n">
        <x:f>ROW()-4</x:f>
        <x:v>43</x:v>
      </x:c>
      <x:c r="B47" t="n">
        <x:f>INT((A47-1)/Parametreler!$B$9)+1</x:f>
        <x:v>11</x:v>
      </x:c>
      <x:c r="C47" t="n">
        <x:f>MOD(A47-1,Parametreler!$B$9)+1</x:f>
        <x:v>3</x:v>
      </x:c>
      <x:c r="D47" t="n">
        <x:f>INDEX(Veri!$B$5:$B$8,C47)</x:f>
        <x:v>1</x:v>
      </x:c>
      <x:c r="E47" t="n">
        <x:f>INDEX(Veri!$C$5:$C$8,C47)</x:f>
        <x:v>-1</x:v>
      </x:c>
      <x:c r="F47" t="n">
        <x:f>INDEX(Veri!$D$5:$D$8,C47)</x:f>
        <x:v>-1</x:v>
      </x:c>
      <x:c r="G47" s="28" t="n">
        <x:f>M46</x:f>
        <x:v>0.4661401876180971</x:v>
      </x:c>
      <x:c r="H47" s="28" t="n">
        <x:f>N46</x:f>
        <x:v>0.4218224652162244</x:v>
      </x:c>
      <x:c r="I47" s="28" t="n">
        <x:f>O46</x:f>
        <x:v>-0.45090359913811734</x:v>
      </x:c>
      <x:c r="J47" s="30" t="n">
        <x:f>G47*D47+H47*E47+I47</x:f>
        <x:v>-0.40658587673624463</x:v>
      </x:c>
      <x:c r="K47" s="30" t="n">
        <x:f>F47-J47</x:f>
        <x:v>-0.5934141232637553</x:v>
      </x:c>
      <x:c r="L47" s="30" t="n">
        <x:f>K47^2</x:f>
        <x:v>0.35214032168889137</x:v>
      </x:c>
      <x:c r="M47" s="28" t="n">
        <x:f>G47+Parametreler!$B$4*K47*D47</x:f>
        <x:v>0.4364694814549093</x:v>
      </x:c>
      <x:c r="N47" s="28" t="n">
        <x:f>H47+Parametreler!$B$4*K47*E47</x:f>
        <x:v>0.4514931713794122</x:v>
      </x:c>
      <x:c r="O47" s="28" t="n">
        <x:f>I47+Parametreler!$B$4*K47</x:f>
        <x:v>-0.4805743053013051</x:v>
      </x:c>
    </x:row>
    <x:row r="48">
      <x:c r="A48" t="n">
        <x:f>ROW()-4</x:f>
        <x:v>44</x:v>
      </x:c>
      <x:c r="B48" t="n">
        <x:f>INT((A48-1)/Parametreler!$B$9)+1</x:f>
        <x:v>11</x:v>
      </x:c>
      <x:c r="C48" t="n">
        <x:f>MOD(A48-1,Parametreler!$B$9)+1</x:f>
        <x:v>4</x:v>
      </x:c>
      <x:c r="D48" t="n">
        <x:f>INDEX(Veri!$B$5:$B$8,C48)</x:f>
        <x:v>1</x:v>
      </x:c>
      <x:c r="E48" t="n">
        <x:f>INDEX(Veri!$C$5:$C$8,C48)</x:f>
        <x:v>1</x:v>
      </x:c>
      <x:c r="F48" t="n">
        <x:f>INDEX(Veri!$D$5:$D$8,C48)</x:f>
        <x:v>1</x:v>
      </x:c>
      <x:c r="G48" s="28" t="n">
        <x:f>M47</x:f>
        <x:v>0.4364694814549093</x:v>
      </x:c>
      <x:c r="H48" s="28" t="n">
        <x:f>N47</x:f>
        <x:v>0.4514931713794122</x:v>
      </x:c>
      <x:c r="I48" s="28" t="n">
        <x:f>O47</x:f>
        <x:v>-0.4805743053013051</x:v>
      </x:c>
      <x:c r="J48" s="30" t="n">
        <x:f>G48*D48+H48*E48+I48</x:f>
        <x:v>0.4073883475330164</x:v>
      </x:c>
      <x:c r="K48" s="30" t="n">
        <x:f>F48-J48</x:f>
        <x:v>0.5926116524669836</x:v>
      </x:c>
      <x:c r="L48" s="30" t="n">
        <x:f>K48^2</x:f>
        <x:v>0.35118857063964887</x:v>
      </x:c>
      <x:c r="M48" s="28" t="n">
        <x:f>G48+Parametreler!$B$4*K48*D48</x:f>
        <x:v>0.4661000640782585</x:v>
      </x:c>
      <x:c r="N48" s="28" t="n">
        <x:f>H48+Parametreler!$B$4*K48*E48</x:f>
        <x:v>0.48112375400276136</x:v>
      </x:c>
      <x:c r="O48" s="28" t="n">
        <x:f>I48+Parametreler!$B$4*K48</x:f>
        <x:v>-0.45094372267795596</x:v>
      </x:c>
    </x:row>
    <x:row r="49">
      <x:c r="A49" t="n">
        <x:f>ROW()-4</x:f>
        <x:v>45</x:v>
      </x:c>
      <x:c r="B49" t="n">
        <x:f>INT((A49-1)/Parametreler!$B$9)+1</x:f>
        <x:v>12</x:v>
      </x:c>
      <x:c r="C49" t="n">
        <x:f>MOD(A49-1,Parametreler!$B$9)+1</x:f>
        <x:v>1</x:v>
      </x:c>
      <x:c r="D49" t="n">
        <x:f>INDEX(Veri!$B$5:$B$8,C49)</x:f>
        <x:v>-1</x:v>
      </x:c>
      <x:c r="E49" t="n">
        <x:f>INDEX(Veri!$C$5:$C$8,C49)</x:f>
        <x:v>-1</x:v>
      </x:c>
      <x:c r="F49" t="n">
        <x:f>INDEX(Veri!$D$5:$D$8,C49)</x:f>
        <x:v>-1</x:v>
      </x:c>
      <x:c r="G49" s="28" t="n">
        <x:f>M48</x:f>
        <x:v>0.4661000640782585</x:v>
      </x:c>
      <x:c r="H49" s="28" t="n">
        <x:f>N48</x:f>
        <x:v>0.48112375400276136</x:v>
      </x:c>
      <x:c r="I49" s="28" t="n">
        <x:f>O48</x:f>
        <x:v>-0.45094372267795596</x:v>
      </x:c>
      <x:c r="J49" s="30" t="n">
        <x:f>G49*D49+H49*E49+I49</x:f>
        <x:v>-1.3981675407589758</x:v>
      </x:c>
      <x:c r="K49" s="30" t="n">
        <x:f>F49-J49</x:f>
        <x:v>0.39816754075897576</x:v>
      </x:c>
      <x:c r="L49" s="30" t="n">
        <x:f>K49^2</x:f>
        <x:v>0.1585373905140506</x:v>
      </x:c>
      <x:c r="M49" s="28" t="n">
        <x:f>G49+Parametreler!$B$4*K49*D49</x:f>
        <x:v>0.4461916870403097</x:v>
      </x:c>
      <x:c r="N49" s="28" t="n">
        <x:f>H49+Parametreler!$B$4*K49*E49</x:f>
        <x:v>0.4612153769648126</x:v>
      </x:c>
      <x:c r="O49" s="28" t="n">
        <x:f>I49+Parametreler!$B$4*K49</x:f>
        <x:v>-0.4310353456400072</x:v>
      </x:c>
    </x:row>
    <x:row r="50">
      <x:c r="A50" t="n">
        <x:f>ROW()-4</x:f>
        <x:v>46</x:v>
      </x:c>
      <x:c r="B50" t="n">
        <x:f>INT((A50-1)/Parametreler!$B$9)+1</x:f>
        <x:v>12</x:v>
      </x:c>
      <x:c r="C50" t="n">
        <x:f>MOD(A50-1,Parametreler!$B$9)+1</x:f>
        <x:v>2</x:v>
      </x:c>
      <x:c r="D50" t="n">
        <x:f>INDEX(Veri!$B$5:$B$8,C50)</x:f>
        <x:v>-1</x:v>
      </x:c>
      <x:c r="E50" t="n">
        <x:f>INDEX(Veri!$C$5:$C$8,C50)</x:f>
        <x:v>1</x:v>
      </x:c>
      <x:c r="F50" t="n">
        <x:f>INDEX(Veri!$D$5:$D$8,C50)</x:f>
        <x:v>-1</x:v>
      </x:c>
      <x:c r="G50" s="28" t="n">
        <x:f>M49</x:f>
        <x:v>0.4461916870403097</x:v>
      </x:c>
      <x:c r="H50" s="28" t="n">
        <x:f>N49</x:f>
        <x:v>0.4612153769648126</x:v>
      </x:c>
      <x:c r="I50" s="28" t="n">
        <x:f>O49</x:f>
        <x:v>-0.4310353456400072</x:v>
      </x:c>
      <x:c r="J50" s="30" t="n">
        <x:f>G50*D50+H50*E50+I50</x:f>
        <x:v>-0.4160116557155043</x:v>
      </x:c>
      <x:c r="K50" s="30" t="n">
        <x:f>F50-J50</x:f>
        <x:v>-0.5839883442844958</x:v>
      </x:c>
      <x:c r="L50" s="30" t="n">
        <x:f>K50^2</x:f>
        <x:v>0.34104238626014677</x:v>
      </x:c>
      <x:c r="M50" s="28" t="n">
        <x:f>G50+Parametreler!$B$4*K50*D50</x:f>
        <x:v>0.4753911042545345</x:v>
      </x:c>
      <x:c r="N50" s="28" t="n">
        <x:f>H50+Parametreler!$B$4*K50*E50</x:f>
        <x:v>0.43201595975058776</x:v>
      </x:c>
      <x:c r="O50" s="28" t="n">
        <x:f>I50+Parametreler!$B$4*K50</x:f>
        <x:v>-0.460234762854232</x:v>
      </x:c>
    </x:row>
    <x:row r="51">
      <x:c r="A51" t="n">
        <x:f>ROW()-4</x:f>
        <x:v>47</x:v>
      </x:c>
      <x:c r="B51" t="n">
        <x:f>INT((A51-1)/Parametreler!$B$9)+1</x:f>
        <x:v>12</x:v>
      </x:c>
      <x:c r="C51" t="n">
        <x:f>MOD(A51-1,Parametreler!$B$9)+1</x:f>
        <x:v>3</x:v>
      </x:c>
      <x:c r="D51" t="n">
        <x:f>INDEX(Veri!$B$5:$B$8,C51)</x:f>
        <x:v>1</x:v>
      </x:c>
      <x:c r="E51" t="n">
        <x:f>INDEX(Veri!$C$5:$C$8,C51)</x:f>
        <x:v>-1</x:v>
      </x:c>
      <x:c r="F51" t="n">
        <x:f>INDEX(Veri!$D$5:$D$8,C51)</x:f>
        <x:v>-1</x:v>
      </x:c>
      <x:c r="G51" s="28" t="n">
        <x:f>M50</x:f>
        <x:v>0.4753911042545345</x:v>
      </x:c>
      <x:c r="H51" s="28" t="n">
        <x:f>N50</x:f>
        <x:v>0.43201595975058776</x:v>
      </x:c>
      <x:c r="I51" s="28" t="n">
        <x:f>O50</x:f>
        <x:v>-0.460234762854232</x:v>
      </x:c>
      <x:c r="J51" s="30" t="n">
        <x:f>G51*D51+H51*E51+I51</x:f>
        <x:v>-0.41685961835028523</x:v>
      </x:c>
      <x:c r="K51" s="30" t="n">
        <x:f>F51-J51</x:f>
        <x:v>-0.5831403816497147</x:v>
      </x:c>
      <x:c r="L51" s="30" t="n">
        <x:f>K51^2</x:f>
        <x:v>0.3400527047105749</x:v>
      </x:c>
      <x:c r="M51" s="28" t="n">
        <x:f>G51+Parametreler!$B$4*K51*D51</x:f>
        <x:v>0.44623408517204877</x:v>
      </x:c>
      <x:c r="N51" s="28" t="n">
        <x:f>H51+Parametreler!$B$4*K51*E51</x:f>
        <x:v>0.4611729788330735</x:v>
      </x:c>
      <x:c r="O51" s="28" t="n">
        <x:f>I51+Parametreler!$B$4*K51</x:f>
        <x:v>-0.48939178193671773</x:v>
      </x:c>
    </x:row>
    <x:row r="52">
      <x:c r="A52" t="n">
        <x:f>ROW()-4</x:f>
        <x:v>48</x:v>
      </x:c>
      <x:c r="B52" t="n">
        <x:f>INT((A52-1)/Parametreler!$B$9)+1</x:f>
        <x:v>12</x:v>
      </x:c>
      <x:c r="C52" t="n">
        <x:f>MOD(A52-1,Parametreler!$B$9)+1</x:f>
        <x:v>4</x:v>
      </x:c>
      <x:c r="D52" t="n">
        <x:f>INDEX(Veri!$B$5:$B$8,C52)</x:f>
        <x:v>1</x:v>
      </x:c>
      <x:c r="E52" t="n">
        <x:f>INDEX(Veri!$C$5:$C$8,C52)</x:f>
        <x:v>1</x:v>
      </x:c>
      <x:c r="F52" t="n">
        <x:f>INDEX(Veri!$D$5:$D$8,C52)</x:f>
        <x:v>1</x:v>
      </x:c>
      <x:c r="G52" s="28" t="n">
        <x:f>M51</x:f>
        <x:v>0.44623408517204877</x:v>
      </x:c>
      <x:c r="H52" s="28" t="n">
        <x:f>N51</x:f>
        <x:v>0.4611729788330735</x:v>
      </x:c>
      <x:c r="I52" s="28" t="n">
        <x:f>O51</x:f>
        <x:v>-0.48939178193671773</x:v>
      </x:c>
      <x:c r="J52" s="30" t="n">
        <x:f>G52*D52+H52*E52+I52</x:f>
        <x:v>0.41801528206840455</x:v>
      </x:c>
      <x:c r="K52" s="30" t="n">
        <x:f>F52-J52</x:f>
        <x:v>0.5819847179315955</x:v>
      </x:c>
      <x:c r="L52" s="30" t="n">
        <x:f>K52^2</x:f>
        <x:v>0.3387062119059187</x:v>
      </x:c>
      <x:c r="M52" s="28" t="n">
        <x:f>G52+Parametreler!$B$4*K52*D52</x:f>
        <x:v>0.4753333210686285</x:v>
      </x:c>
      <x:c r="N52" s="28" t="n">
        <x:f>H52+Parametreler!$B$4*K52*E52</x:f>
        <x:v>0.49027221472965327</x:v>
      </x:c>
      <x:c r="O52" s="28" t="n">
        <x:f>I52+Parametreler!$B$4*K52</x:f>
        <x:v>-0.460292546040138</x:v>
      </x:c>
    </x:row>
    <x:row r="53">
      <x:c r="A53" t="n">
        <x:f>ROW()-4</x:f>
        <x:v>49</x:v>
      </x:c>
      <x:c r="B53" t="n">
        <x:f>INT((A53-1)/Parametreler!$B$9)+1</x:f>
        <x:v>13</x:v>
      </x:c>
      <x:c r="C53" t="n">
        <x:f>MOD(A53-1,Parametreler!$B$9)+1</x:f>
        <x:v>1</x:v>
      </x:c>
      <x:c r="D53" t="n">
        <x:f>INDEX(Veri!$B$5:$B$8,C53)</x:f>
        <x:v>-1</x:v>
      </x:c>
      <x:c r="E53" t="n">
        <x:f>INDEX(Veri!$C$5:$C$8,C53)</x:f>
        <x:v>-1</x:v>
      </x:c>
      <x:c r="F53" t="n">
        <x:f>INDEX(Veri!$D$5:$D$8,C53)</x:f>
        <x:v>-1</x:v>
      </x:c>
      <x:c r="G53" s="28" t="n">
        <x:f>M52</x:f>
        <x:v>0.4753333210686285</x:v>
      </x:c>
      <x:c r="H53" s="28" t="n">
        <x:f>N52</x:f>
        <x:v>0.49027221472965327</x:v>
      </x:c>
      <x:c r="I53" s="28" t="n">
        <x:f>O52</x:f>
        <x:v>-0.460292546040138</x:v>
      </x:c>
      <x:c r="J53" s="30" t="n">
        <x:f>G53*D53+H53*E53+I53</x:f>
        <x:v>-1.4258980818384197</x:v>
      </x:c>
      <x:c r="K53" s="30" t="n">
        <x:f>F53-J53</x:f>
        <x:v>0.4258980818384197</x:v>
      </x:c>
      <x:c r="L53" s="30" t="n">
        <x:f>K53^2</x:f>
        <x:v>0.18138917611364525</x:v>
      </x:c>
      <x:c r="M53" s="28" t="n">
        <x:f>G53+Parametreler!$B$4*K53*D53</x:f>
        <x:v>0.45403841697670755</x:v>
      </x:c>
      <x:c r="N53" s="28" t="n">
        <x:f>H53+Parametreler!$B$4*K53*E53</x:f>
        <x:v>0.4689773106377323</x:v>
      </x:c>
      <x:c r="O53" s="28" t="n">
        <x:f>I53+Parametreler!$B$4*K53</x:f>
        <x:v>-0.438997641948217</x:v>
      </x:c>
    </x:row>
    <x:row r="54">
      <x:c r="A54" t="n">
        <x:f>ROW()-4</x:f>
        <x:v>50</x:v>
      </x:c>
      <x:c r="B54" t="n">
        <x:f>INT((A54-1)/Parametreler!$B$9)+1</x:f>
        <x:v>13</x:v>
      </x:c>
      <x:c r="C54" t="n">
        <x:f>MOD(A54-1,Parametreler!$B$9)+1</x:f>
        <x:v>2</x:v>
      </x:c>
      <x:c r="D54" t="n">
        <x:f>INDEX(Veri!$B$5:$B$8,C54)</x:f>
        <x:v>-1</x:v>
      </x:c>
      <x:c r="E54" t="n">
        <x:f>INDEX(Veri!$C$5:$C$8,C54)</x:f>
        <x:v>1</x:v>
      </x:c>
      <x:c r="F54" t="n">
        <x:f>INDEX(Veri!$D$5:$D$8,C54)</x:f>
        <x:v>-1</x:v>
      </x:c>
      <x:c r="G54" s="28" t="n">
        <x:f>M53</x:f>
        <x:v>0.45403841697670755</x:v>
      </x:c>
      <x:c r="H54" s="28" t="n">
        <x:f>N53</x:f>
        <x:v>0.4689773106377323</x:v>
      </x:c>
      <x:c r="I54" s="28" t="n">
        <x:f>O53</x:f>
        <x:v>-0.438997641948217</x:v>
      </x:c>
      <x:c r="J54" s="30" t="n">
        <x:f>G54*D54+H54*E54+I54</x:f>
        <x:v>-0.42405874828719226</x:v>
      </x:c>
      <x:c r="K54" s="30" t="n">
        <x:f>F54-J54</x:f>
        <x:v>-0.5759412517128077</x:v>
      </x:c>
      <x:c r="L54" s="30" t="n">
        <x:f>K54^2</x:f>
        <x:v>0.3317083254245158</x:v>
      </x:c>
      <x:c r="M54" s="28" t="n">
        <x:f>G54+Parametreler!$B$4*K54*D54</x:f>
        <x:v>0.48283547956234796</x:v>
      </x:c>
      <x:c r="N54" s="28" t="n">
        <x:f>H54+Parametreler!$B$4*K54*E54</x:f>
        <x:v>0.4401802480520919</x:v>
      </x:c>
      <x:c r="O54" s="28" t="n">
        <x:f>I54+Parametreler!$B$4*K54</x:f>
        <x:v>-0.4677947045338574</x:v>
      </x:c>
    </x:row>
    <x:row r="55">
      <x:c r="A55" t="n">
        <x:f>ROW()-4</x:f>
        <x:v>51</x:v>
      </x:c>
      <x:c r="B55" t="n">
        <x:f>INT((A55-1)/Parametreler!$B$9)+1</x:f>
        <x:v>13</x:v>
      </x:c>
      <x:c r="C55" t="n">
        <x:f>MOD(A55-1,Parametreler!$B$9)+1</x:f>
        <x:v>3</x:v>
      </x:c>
      <x:c r="D55" t="n">
        <x:f>INDEX(Veri!$B$5:$B$8,C55)</x:f>
        <x:v>1</x:v>
      </x:c>
      <x:c r="E55" t="n">
        <x:f>INDEX(Veri!$C$5:$C$8,C55)</x:f>
        <x:v>-1</x:v>
      </x:c>
      <x:c r="F55" t="n">
        <x:f>INDEX(Veri!$D$5:$D$8,C55)</x:f>
        <x:v>-1</x:v>
      </x:c>
      <x:c r="G55" s="28" t="n">
        <x:f>M54</x:f>
        <x:v>0.48283547956234796</x:v>
      </x:c>
      <x:c r="H55" s="28" t="n">
        <x:f>N54</x:f>
        <x:v>0.4401802480520919</x:v>
      </x:c>
      <x:c r="I55" s="28" t="n">
        <x:f>O54</x:f>
        <x:v>-0.4677947045338574</x:v>
      </x:c>
      <x:c r="J55" s="30" t="n">
        <x:f>G55*D55+H55*E55+I55</x:f>
        <x:v>-0.42513947302360133</x:v>
      </x:c>
      <x:c r="K55" s="30" t="n">
        <x:f>F55-J55</x:f>
        <x:v>-0.5748605269763987</x:v>
      </x:c>
      <x:c r="L55" s="30" t="n">
        <x:f>K55^2</x:f>
        <x:v>0.3304646254755828</x:v>
      </x:c>
      <x:c r="M55" s="28" t="n">
        <x:f>G55+Parametreler!$B$4*K55*D55</x:f>
        <x:v>0.45409245321352804</x:v>
      </x:c>
      <x:c r="N55" s="28" t="n">
        <x:f>H55+Parametreler!$B$4*K55*E55</x:f>
        <x:v>0.4689232744009118</x:v>
      </x:c>
      <x:c r="O55" s="28" t="n">
        <x:f>I55+Parametreler!$B$4*K55</x:f>
        <x:v>-0.49653773088267733</x:v>
      </x:c>
    </x:row>
    <x:row r="56">
      <x:c r="A56" t="n">
        <x:f>ROW()-4</x:f>
        <x:v>52</x:v>
      </x:c>
      <x:c r="B56" t="n">
        <x:f>INT((A56-1)/Parametreler!$B$9)+1</x:f>
        <x:v>13</x:v>
      </x:c>
      <x:c r="C56" t="n">
        <x:f>MOD(A56-1,Parametreler!$B$9)+1</x:f>
        <x:v>4</x:v>
      </x:c>
      <x:c r="D56" t="n">
        <x:f>INDEX(Veri!$B$5:$B$8,C56)</x:f>
        <x:v>1</x:v>
      </x:c>
      <x:c r="E56" t="n">
        <x:f>INDEX(Veri!$C$5:$C$8,C56)</x:f>
        <x:v>1</x:v>
      </x:c>
      <x:c r="F56" t="n">
        <x:f>INDEX(Veri!$D$5:$D$8,C56)</x:f>
        <x:v>1</x:v>
      </x:c>
      <x:c r="G56" s="28" t="n">
        <x:f>M55</x:f>
        <x:v>0.45409245321352804</x:v>
      </x:c>
      <x:c r="H56" s="28" t="n">
        <x:f>N55</x:f>
        <x:v>0.4689232744009118</x:v>
      </x:c>
      <x:c r="I56" s="28" t="n">
        <x:f>O55</x:f>
        <x:v>-0.49653773088267733</x:v>
      </x:c>
      <x:c r="J56" s="30" t="n">
        <x:f>G56*D56+H56*E56+I56</x:f>
        <x:v>0.4264779967317625</x:v>
      </x:c>
      <x:c r="K56" s="30" t="n">
        <x:f>F56-J56</x:f>
        <x:v>0.5735220032682375</x:v>
      </x:c>
      <x:c r="L56" s="30" t="n">
        <x:f>K56^2</x:f>
        <x:v>0.32892748823281226</x:v>
      </x:c>
      <x:c r="M56" s="28" t="n">
        <x:f>G56+Parametreler!$B$4*K56*D56</x:f>
        <x:v>0.4827685533769399</x:v>
      </x:c>
      <x:c r="N56" s="28" t="n">
        <x:f>H56+Parametreler!$B$4*K56*E56</x:f>
        <x:v>0.4975993745643237</x:v>
      </x:c>
      <x:c r="O56" s="28" t="n">
        <x:f>I56+Parametreler!$B$4*K56</x:f>
        <x:v>-0.46786163071926545</x:v>
      </x:c>
    </x:row>
    <x:row r="57">
      <x:c r="A57" t="n">
        <x:f>ROW()-4</x:f>
        <x:v>53</x:v>
      </x:c>
      <x:c r="B57" t="n">
        <x:f>INT((A57-1)/Parametreler!$B$9)+1</x:f>
        <x:v>14</x:v>
      </x:c>
      <x:c r="C57" t="n">
        <x:f>MOD(A57-1,Parametreler!$B$9)+1</x:f>
        <x:v>1</x:v>
      </x:c>
      <x:c r="D57" t="n">
        <x:f>INDEX(Veri!$B$5:$B$8,C57)</x:f>
        <x:v>-1</x:v>
      </x:c>
      <x:c r="E57" t="n">
        <x:f>INDEX(Veri!$C$5:$C$8,C57)</x:f>
        <x:v>-1</x:v>
      </x:c>
      <x:c r="F57" t="n">
        <x:f>INDEX(Veri!$D$5:$D$8,C57)</x:f>
        <x:v>-1</x:v>
      </x:c>
      <x:c r="G57" s="28" t="n">
        <x:f>M56</x:f>
        <x:v>0.4827685533769399</x:v>
      </x:c>
      <x:c r="H57" s="28" t="n">
        <x:f>N56</x:f>
        <x:v>0.4975993745643237</x:v>
      </x:c>
      <x:c r="I57" s="28" t="n">
        <x:f>O56</x:f>
        <x:v>-0.46786163071926545</x:v>
      </x:c>
      <x:c r="J57" s="30" t="n">
        <x:f>G57*D57+H57*E57+I57</x:f>
        <x:v>-1.448229558660529</x:v>
      </x:c>
      <x:c r="K57" s="30" t="n">
        <x:f>F57-J57</x:f>
        <x:v>0.44822955866052894</x:v>
      </x:c>
      <x:c r="L57" s="30" t="n">
        <x:f>K57^2</x:f>
        <x:v>0.20090973725701256</x:v>
      </x:c>
      <x:c r="M57" s="28" t="n">
        <x:f>G57+Parametreler!$B$4*K57*D57</x:f>
        <x:v>0.46035707544391347</x:v>
      </x:c>
      <x:c r="N57" s="28" t="n">
        <x:f>H57+Parametreler!$B$4*K57*E57</x:f>
        <x:v>0.47518789663129724</x:v>
      </x:c>
      <x:c r="O57" s="28" t="n">
        <x:f>I57+Parametreler!$B$4*K57</x:f>
        <x:v>-0.445450152786239</x:v>
      </x:c>
    </x:row>
    <x:row r="58">
      <x:c r="A58" t="n">
        <x:f>ROW()-4</x:f>
        <x:v>54</x:v>
      </x:c>
      <x:c r="B58" t="n">
        <x:f>INT((A58-1)/Parametreler!$B$9)+1</x:f>
        <x:v>14</x:v>
      </x:c>
      <x:c r="C58" t="n">
        <x:f>MOD(A58-1,Parametreler!$B$9)+1</x:f>
        <x:v>2</x:v>
      </x:c>
      <x:c r="D58" t="n">
        <x:f>INDEX(Veri!$B$5:$B$8,C58)</x:f>
        <x:v>-1</x:v>
      </x:c>
      <x:c r="E58" t="n">
        <x:f>INDEX(Veri!$C$5:$C$8,C58)</x:f>
        <x:v>1</x:v>
      </x:c>
      <x:c r="F58" t="n">
        <x:f>INDEX(Veri!$D$5:$D$8,C58)</x:f>
        <x:v>-1</x:v>
      </x:c>
      <x:c r="G58" s="28" t="n">
        <x:f>M57</x:f>
        <x:v>0.46035707544391347</x:v>
      </x:c>
      <x:c r="H58" s="28" t="n">
        <x:f>N57</x:f>
        <x:v>0.47518789663129724</x:v>
      </x:c>
      <x:c r="I58" s="28" t="n">
        <x:f>O57</x:f>
        <x:v>-0.445450152786239</x:v>
      </x:c>
      <x:c r="J58" s="30" t="n">
        <x:f>G58*D58+H58*E58+I58</x:f>
        <x:v>-0.43061933159885524</x:v>
      </x:c>
      <x:c r="K58" s="30" t="n">
        <x:f>F58-J58</x:f>
        <x:v>-0.5693806684011448</x:v>
      </x:c>
      <x:c r="L58" s="30" t="n">
        <x:f>K58^2</x:f>
        <x:v>0.3241943455489344</x:v>
      </x:c>
      <x:c r="M58" s="28" t="n">
        <x:f>G58+Parametreler!$B$4*K58*D58</x:f>
        <x:v>0.4888261088639707</x:v>
      </x:c>
      <x:c r="N58" s="28" t="n">
        <x:f>H58+Parametreler!$B$4*K58*E58</x:f>
        <x:v>0.44671886321124</x:v>
      </x:c>
      <x:c r="O58" s="28" t="n">
        <x:f>I58+Parametreler!$B$4*K58</x:f>
        <x:v>-0.47391918620629625</x:v>
      </x:c>
    </x:row>
    <x:row r="59">
      <x:c r="A59" t="n">
        <x:f>ROW()-4</x:f>
        <x:v>55</x:v>
      </x:c>
      <x:c r="B59" t="n">
        <x:f>INT((A59-1)/Parametreler!$B$9)+1</x:f>
        <x:v>14</x:v>
      </x:c>
      <x:c r="C59" t="n">
        <x:f>MOD(A59-1,Parametreler!$B$9)+1</x:f>
        <x:v>3</x:v>
      </x:c>
      <x:c r="D59" t="n">
        <x:f>INDEX(Veri!$B$5:$B$8,C59)</x:f>
        <x:v>1</x:v>
      </x:c>
      <x:c r="E59" t="n">
        <x:f>INDEX(Veri!$C$5:$C$8,C59)</x:f>
        <x:v>-1</x:v>
      </x:c>
      <x:c r="F59" t="n">
        <x:f>INDEX(Veri!$D$5:$D$8,C59)</x:f>
        <x:v>-1</x:v>
      </x:c>
      <x:c r="G59" s="28" t="n">
        <x:f>M58</x:f>
        <x:v>0.4888261088639707</x:v>
      </x:c>
      <x:c r="H59" s="28" t="n">
        <x:f>N58</x:f>
        <x:v>0.44671886321124</x:v>
      </x:c>
      <x:c r="I59" s="28" t="n">
        <x:f>O58</x:f>
        <x:v>-0.47391918620629625</x:v>
      </x:c>
      <x:c r="J59" s="30" t="n">
        <x:f>G59*D59+H59*E59+I59</x:f>
        <x:v>-0.43181194055356553</x:v>
      </x:c>
      <x:c r="K59" s="30" t="n">
        <x:f>F59-J59</x:f>
        <x:v>-0.5681880594464345</x:v>
      </x:c>
      <x:c r="L59" s="30" t="n">
        <x:f>K59^2</x:f>
        <x:v>0.3228376708975049</x:v>
      </x:c>
      <x:c r="M59" s="28" t="n">
        <x:f>G59+Parametreler!$B$4*K59*D59</x:f>
        <x:v>0.46041670589164896</x:v>
      </x:c>
      <x:c r="N59" s="28" t="n">
        <x:f>H59+Parametreler!$B$4*K59*E59</x:f>
        <x:v>0.47512826618356174</x:v>
      </x:c>
      <x:c r="O59" s="28" t="n">
        <x:f>I59+Parametreler!$B$4*K59</x:f>
        <x:v>-0.502328589178618</x:v>
      </x:c>
    </x:row>
    <x:row r="60">
      <x:c r="A60" t="n">
        <x:f>ROW()-4</x:f>
        <x:v>56</x:v>
      </x:c>
      <x:c r="B60" t="n">
        <x:f>INT((A60-1)/Parametreler!$B$9)+1</x:f>
        <x:v>14</x:v>
      </x:c>
      <x:c r="C60" t="n">
        <x:f>MOD(A60-1,Parametreler!$B$9)+1</x:f>
        <x:v>4</x:v>
      </x:c>
      <x:c r="D60" t="n">
        <x:f>INDEX(Veri!$B$5:$B$8,C60)</x:f>
        <x:v>1</x:v>
      </x:c>
      <x:c r="E60" t="n">
        <x:f>INDEX(Veri!$C$5:$C$8,C60)</x:f>
        <x:v>1</x:v>
      </x:c>
      <x:c r="F60" t="n">
        <x:f>INDEX(Veri!$D$5:$D$8,C60)</x:f>
        <x:v>1</x:v>
      </x:c>
      <x:c r="G60" s="28" t="n">
        <x:f>M59</x:f>
        <x:v>0.46041670589164896</x:v>
      </x:c>
      <x:c r="H60" s="28" t="n">
        <x:f>N59</x:f>
        <x:v>0.47512826618356174</x:v>
      </x:c>
      <x:c r="I60" s="28" t="n">
        <x:f>O59</x:f>
        <x:v>-0.502328589178618</x:v>
      </x:c>
      <x:c r="J60" s="30" t="n">
        <x:f>G60*D60+H60*E60+I60</x:f>
        <x:v>0.4332163828965927</x:v>
      </x:c>
      <x:c r="K60" s="30" t="n">
        <x:f>F60-J60</x:f>
        <x:v>0.5667836171034073</x:v>
      </x:c>
      <x:c r="L60" s="30" t="n">
        <x:f>K60^2</x:f>
        <x:v>0.3212436686168218</x:v>
      </x:c>
      <x:c r="M60" s="28" t="n">
        <x:f>G60+Parametreler!$B$4*K60*D60</x:f>
        <x:v>0.4887558867468193</x:v>
      </x:c>
      <x:c r="N60" s="28" t="n">
        <x:f>H60+Parametreler!$B$4*K60*E60</x:f>
        <x:v>0.5034674470387321</x:v>
      </x:c>
      <x:c r="O60" s="28" t="n">
        <x:f>I60+Parametreler!$B$4*K60</x:f>
        <x:v>-0.47398940832344766</x:v>
      </x:c>
    </x:row>
    <x:row r="61">
      <x:c r="A61" t="n">
        <x:f>ROW()-4</x:f>
        <x:v>57</x:v>
      </x:c>
      <x:c r="B61" t="n">
        <x:f>INT((A61-1)/Parametreler!$B$9)+1</x:f>
        <x:v>15</x:v>
      </x:c>
      <x:c r="C61" t="n">
        <x:f>MOD(A61-1,Parametreler!$B$9)+1</x:f>
        <x:v>1</x:v>
      </x:c>
      <x:c r="D61" t="n">
        <x:f>INDEX(Veri!$B$5:$B$8,C61)</x:f>
        <x:v>-1</x:v>
      </x:c>
      <x:c r="E61" t="n">
        <x:f>INDEX(Veri!$C$5:$C$8,C61)</x:f>
        <x:v>-1</x:v>
      </x:c>
      <x:c r="F61" t="n">
        <x:f>INDEX(Veri!$D$5:$D$8,C61)</x:f>
        <x:v>-1</x:v>
      </x:c>
      <x:c r="G61" s="28" t="n">
        <x:f>M60</x:f>
        <x:v>0.4887558867468193</x:v>
      </x:c>
      <x:c r="H61" s="28" t="n">
        <x:f>N60</x:f>
        <x:v>0.5034674470387321</x:v>
      </x:c>
      <x:c r="I61" s="28" t="n">
        <x:f>O60</x:f>
        <x:v>-0.47398940832344766</x:v>
      </x:c>
      <x:c r="J61" s="30" t="n">
        <x:f>G61*D61+H61*E61+I61</x:f>
        <x:v>-1.4662127421089992</x:v>
      </x:c>
      <x:c r="K61" s="30" t="n">
        <x:f>F61-J61</x:f>
        <x:v>0.4662127421089992</x:v>
      </x:c>
      <x:c r="L61" s="30" t="n">
        <x:f>K61^2</x:f>
        <x:v>0.2173543209047922</x:v>
      </x:c>
      <x:c r="M61" s="28" t="n">
        <x:f>G61+Parametreler!$B$4*K61*D61</x:f>
        <x:v>0.46544524964136935</x:v>
      </x:c>
      <x:c r="N61" s="28" t="n">
        <x:f>H61+Parametreler!$B$4*K61*E61</x:f>
        <x:v>0.4801568099332822</x:v>
      </x:c>
      <x:c r="O61" s="28" t="n">
        <x:f>I61+Parametreler!$B$4*K61</x:f>
        <x:v>-0.4506787712179977</x:v>
      </x:c>
    </x:row>
    <x:row r="62">
      <x:c r="A62" t="n">
        <x:f>ROW()-4</x:f>
        <x:v>58</x:v>
      </x:c>
      <x:c r="B62" t="n">
        <x:f>INT((A62-1)/Parametreler!$B$9)+1</x:f>
        <x:v>15</x:v>
      </x:c>
      <x:c r="C62" t="n">
        <x:f>MOD(A62-1,Parametreler!$B$9)+1</x:f>
        <x:v>2</x:v>
      </x:c>
      <x:c r="D62" t="n">
        <x:f>INDEX(Veri!$B$5:$B$8,C62)</x:f>
        <x:v>-1</x:v>
      </x:c>
      <x:c r="E62" t="n">
        <x:f>INDEX(Veri!$C$5:$C$8,C62)</x:f>
        <x:v>1</x:v>
      </x:c>
      <x:c r="F62" t="n">
        <x:f>INDEX(Veri!$D$5:$D$8,C62)</x:f>
        <x:v>-1</x:v>
      </x:c>
      <x:c r="G62" s="28" t="n">
        <x:f>M61</x:f>
        <x:v>0.46544524964136935</x:v>
      </x:c>
      <x:c r="H62" s="28" t="n">
        <x:f>N61</x:f>
        <x:v>0.4801568099332822</x:v>
      </x:c>
      <x:c r="I62" s="28" t="n">
        <x:f>O61</x:f>
        <x:v>-0.4506787712179977</x:v>
      </x:c>
      <x:c r="J62" s="30" t="n">
        <x:f>G62*D62+H62*E62+I62</x:f>
        <x:v>-0.43596721092608487</x:v>
      </x:c>
      <x:c r="K62" s="30" t="n">
        <x:f>F62-J62</x:f>
        <x:v>-0.5640327890739152</x:v>
      </x:c>
      <x:c r="L62" s="30" t="n">
        <x:f>K62^2</x:f>
        <x:v>0.3181329871504997</x:v>
      </x:c>
      <x:c r="M62" s="28" t="n">
        <x:f>G62+Parametreler!$B$4*K62*D62</x:f>
        <x:v>0.4936468890950651</x:v>
      </x:c>
      <x:c r="N62" s="28" t="n">
        <x:f>H62+Parametreler!$B$4*K62*E62</x:f>
        <x:v>0.45195517047958644</x:v>
      </x:c>
      <x:c r="O62" s="28" t="n">
        <x:f>I62+Parametreler!$B$4*K62</x:f>
        <x:v>-0.47888041067169346</x:v>
      </x:c>
    </x:row>
    <x:row r="63">
      <x:c r="A63" t="n">
        <x:f>ROW()-4</x:f>
        <x:v>59</x:v>
      </x:c>
      <x:c r="B63" t="n">
        <x:f>INT((A63-1)/Parametreler!$B$9)+1</x:f>
        <x:v>15</x:v>
      </x:c>
      <x:c r="C63" t="n">
        <x:f>MOD(A63-1,Parametreler!$B$9)+1</x:f>
        <x:v>3</x:v>
      </x:c>
      <x:c r="D63" t="n">
        <x:f>INDEX(Veri!$B$5:$B$8,C63)</x:f>
        <x:v>1</x:v>
      </x:c>
      <x:c r="E63" t="n">
        <x:f>INDEX(Veri!$C$5:$C$8,C63)</x:f>
        <x:v>-1</x:v>
      </x:c>
      <x:c r="F63" t="n">
        <x:f>INDEX(Veri!$D$5:$D$8,C63)</x:f>
        <x:v>-1</x:v>
      </x:c>
      <x:c r="G63" s="28" t="n">
        <x:f>M62</x:f>
        <x:v>0.4936468890950651</x:v>
      </x:c>
      <x:c r="H63" s="28" t="n">
        <x:f>N62</x:f>
        <x:v>0.45195517047958644</x:v>
      </x:c>
      <x:c r="I63" s="28" t="n">
        <x:f>O62</x:f>
        <x:v>-0.47888041067169346</x:v>
      </x:c>
      <x:c r="J63" s="30" t="n">
        <x:f>G63*D63+H63*E63+I63</x:f>
        <x:v>-0.4371886920562148</x:v>
      </x:c>
      <x:c r="K63" s="30" t="n">
        <x:f>F63-J63</x:f>
        <x:v>-0.5628113079437852</x:v>
      </x:c>
      <x:c r="L63" s="30" t="n">
        <x:f>K63^2</x:f>
        <x:v>0.3167565683493942</x:v>
      </x:c>
      <x:c r="M63" s="28" t="n">
        <x:f>G63+Parametreler!$B$4*K63*D63</x:f>
        <x:v>0.4655063236978758</x:v>
      </x:c>
      <x:c r="N63" s="28" t="n">
        <x:f>H63+Parametreler!$B$4*K63*E63</x:f>
        <x:v>0.4800957358767757</x:v>
      </x:c>
      <x:c r="O63" s="28" t="n">
        <x:f>I63+Parametreler!$B$4*K63</x:f>
        <x:v>-0.5070209760688827</x:v>
      </x:c>
    </x:row>
    <x:row r="64">
      <x:c r="A64" t="n">
        <x:f>ROW()-4</x:f>
        <x:v>60</x:v>
      </x:c>
      <x:c r="B64" t="n">
        <x:f>INT((A64-1)/Parametreler!$B$9)+1</x:f>
        <x:v>15</x:v>
      </x:c>
      <x:c r="C64" t="n">
        <x:f>MOD(A64-1,Parametreler!$B$9)+1</x:f>
        <x:v>4</x:v>
      </x:c>
      <x:c r="D64" t="n">
        <x:f>INDEX(Veri!$B$5:$B$8,C64)</x:f>
        <x:v>1</x:v>
      </x:c>
      <x:c r="E64" t="n">
        <x:f>INDEX(Veri!$C$5:$C$8,C64)</x:f>
        <x:v>1</x:v>
      </x:c>
      <x:c r="F64" t="n">
        <x:f>INDEX(Veri!$D$5:$D$8,C64)</x:f>
        <x:v>1</x:v>
      </x:c>
      <x:c r="G64" s="28" t="n">
        <x:f>M63</x:f>
        <x:v>0.4655063236978758</x:v>
      </x:c>
      <x:c r="H64" s="28" t="n">
        <x:f>N63</x:f>
        <x:v>0.4800957358767757</x:v>
      </x:c>
      <x:c r="I64" s="28" t="n">
        <x:f>O63</x:f>
        <x:v>-0.5070209760688827</x:v>
      </x:c>
      <x:c r="J64" s="30" t="n">
        <x:f>G64*D64+H64*E64+I64</x:f>
        <x:v>0.43858108350576874</x:v>
      </x:c>
      <x:c r="K64" s="30" t="n">
        <x:f>F64-J64</x:f>
        <x:v>0.5614189164942313</x:v>
      </x:c>
      <x:c r="L64" s="30" t="n">
        <x:f>K64^2</x:f>
        <x:v>0.3151911997975566</x:v>
      </x:c>
      <x:c r="M64" s="28" t="n">
        <x:f>G64+Parametreler!$B$4*K64*D64</x:f>
        <x:v>0.4935772695225874</x:v>
      </x:c>
      <x:c r="N64" s="28" t="n">
        <x:f>H64+Parametreler!$B$4*K64*E64</x:f>
        <x:v>0.5081666817014873</x:v>
      </x:c>
      <x:c r="O64" s="28" t="n">
        <x:f>I64+Parametreler!$B$4*K64</x:f>
        <x:v>-0.47895003024417115</x:v>
      </x:c>
    </x:row>
    <x:row r="65">
      <x:c r="A65" t="n">
        <x:f>ROW()-4</x:f>
        <x:v>61</x:v>
      </x:c>
      <x:c r="B65" t="n">
        <x:f>INT((A65-1)/Parametreler!$B$9)+1</x:f>
        <x:v>16</x:v>
      </x:c>
      <x:c r="C65" t="n">
        <x:f>MOD(A65-1,Parametreler!$B$9)+1</x:f>
        <x:v>1</x:v>
      </x:c>
      <x:c r="D65" t="n">
        <x:f>INDEX(Veri!$B$5:$B$8,C65)</x:f>
        <x:v>-1</x:v>
      </x:c>
      <x:c r="E65" t="n">
        <x:f>INDEX(Veri!$C$5:$C$8,C65)</x:f>
        <x:v>-1</x:v>
      </x:c>
      <x:c r="F65" t="n">
        <x:f>INDEX(Veri!$D$5:$D$8,C65)</x:f>
        <x:v>-1</x:v>
      </x:c>
      <x:c r="G65" s="28" t="n">
        <x:f>M64</x:f>
        <x:v>0.4935772695225874</x:v>
      </x:c>
      <x:c r="H65" s="28" t="n">
        <x:f>N64</x:f>
        <x:v>0.5081666817014873</x:v>
      </x:c>
      <x:c r="I65" s="28" t="n">
        <x:f>O64</x:f>
        <x:v>-0.47895003024417115</x:v>
      </x:c>
      <x:c r="J65" s="30" t="n">
        <x:f>G65*D65+H65*E65+I65</x:f>
        <x:v>-1.4806939814682458</x:v>
      </x:c>
      <x:c r="K65" s="30" t="n">
        <x:f>F65-J65</x:f>
        <x:v>0.4806939814682458</x:v>
      </x:c>
      <x:c r="L65" s="30" t="n">
        <x:f>K65^2</x:f>
        <x:v>0.23106670381979427</x:v>
      </x:c>
      <x:c r="M65" s="28" t="n">
        <x:f>G65+Parametreler!$B$4*K65*D65</x:f>
        <x:v>0.46954257044917513</x:v>
      </x:c>
      <x:c r="N65" s="28" t="n">
        <x:f>H65+Parametreler!$B$4*K65*E65</x:f>
        <x:v>0.484131982628075</x:v>
      </x:c>
      <x:c r="O65" s="28" t="n">
        <x:f>I65+Parametreler!$B$4*K65</x:f>
        <x:v>-0.4549153311707589</x:v>
      </x:c>
    </x:row>
    <x:row r="66">
      <x:c r="A66" t="n">
        <x:f>ROW()-4</x:f>
        <x:v>62</x:v>
      </x:c>
      <x:c r="B66" t="n">
        <x:f>INT((A66-1)/Parametreler!$B$9)+1</x:f>
        <x:v>16</x:v>
      </x:c>
      <x:c r="C66" t="n">
        <x:f>MOD(A66-1,Parametreler!$B$9)+1</x:f>
        <x:v>2</x:v>
      </x:c>
      <x:c r="D66" t="n">
        <x:f>INDEX(Veri!$B$5:$B$8,C66)</x:f>
        <x:v>-1</x:v>
      </x:c>
      <x:c r="E66" t="n">
        <x:f>INDEX(Veri!$C$5:$C$8,C66)</x:f>
        <x:v>1</x:v>
      </x:c>
      <x:c r="F66" t="n">
        <x:f>INDEX(Veri!$D$5:$D$8,C66)</x:f>
        <x:v>-1</x:v>
      </x:c>
      <x:c r="G66" s="28" t="n">
        <x:f>M65</x:f>
        <x:v>0.46954257044917513</x:v>
      </x:c>
      <x:c r="H66" s="28" t="n">
        <x:f>N65</x:f>
        <x:v>0.484131982628075</x:v>
      </x:c>
      <x:c r="I66" s="28" t="n">
        <x:f>O65</x:f>
        <x:v>-0.4549153311707589</x:v>
      </x:c>
      <x:c r="J66" s="30" t="n">
        <x:f>G66*D66+H66*E66+I66</x:f>
        <x:v>-0.440325918991859</x:v>
      </x:c>
      <x:c r="K66" s="30" t="n">
        <x:f>F66-J66</x:f>
        <x:v>-0.559674081008141</x:v>
      </x:c>
      <x:c r="L66" s="30" t="n">
        <x:f>K66^2</x:f>
        <x:v>0.3132350769523071</x:v>
      </x:c>
      <x:c r="M66" s="28" t="n">
        <x:f>G66+Parametreler!$B$4*K66*D66</x:f>
        <x:v>0.4975262744995822</x:v>
      </x:c>
      <x:c r="N66" s="28" t="n">
        <x:f>H66+Parametreler!$B$4*K66*E66</x:f>
        <x:v>0.45614827857766793</x:v>
      </x:c>
      <x:c r="O66" s="28" t="n">
        <x:f>I66+Parametreler!$B$4*K66</x:f>
        <x:v>-0.48289903522116595</x:v>
      </x:c>
    </x:row>
    <x:row r="67">
      <x:c r="A67" t="n">
        <x:f>ROW()-4</x:f>
        <x:v>63</x:v>
      </x:c>
      <x:c r="B67" t="n">
        <x:f>INT((A67-1)/Parametreler!$B$9)+1</x:f>
        <x:v>16</x:v>
      </x:c>
      <x:c r="C67" t="n">
        <x:f>MOD(A67-1,Parametreler!$B$9)+1</x:f>
        <x:v>3</x:v>
      </x:c>
      <x:c r="D67" t="n">
        <x:f>INDEX(Veri!$B$5:$B$8,C67)</x:f>
        <x:v>1</x:v>
      </x:c>
      <x:c r="E67" t="n">
        <x:f>INDEX(Veri!$C$5:$C$8,C67)</x:f>
        <x:v>-1</x:v>
      </x:c>
      <x:c r="F67" t="n">
        <x:f>INDEX(Veri!$D$5:$D$8,C67)</x:f>
        <x:v>-1</x:v>
      </x:c>
      <x:c r="G67" s="28" t="n">
        <x:f>M66</x:f>
        <x:v>0.4975262744995822</x:v>
      </x:c>
      <x:c r="H67" s="28" t="n">
        <x:f>N66</x:f>
        <x:v>0.45614827857766793</x:v>
      </x:c>
      <x:c r="I67" s="28" t="n">
        <x:f>O66</x:f>
        <x:v>-0.48289903522116595</x:v>
      </x:c>
      <x:c r="J67" s="30" t="n">
        <x:f>G67*D67+H67*E67+I67</x:f>
        <x:v>-0.4415210392992517</x:v>
      </x:c>
      <x:c r="K67" s="30" t="n">
        <x:f>F67-J67</x:f>
        <x:v>-0.5584789607007483</x:v>
      </x:c>
      <x:c r="L67" s="30" t="n">
        <x:f>K67^2</x:f>
        <x:v>0.311898749545388</x:v>
      </x:c>
      <x:c r="M67" s="28" t="n">
        <x:f>G67+Parametreler!$B$4*K67*D67</x:f>
        <x:v>0.4696023264645448</x:v>
      </x:c>
      <x:c r="N67" s="28" t="n">
        <x:f>H67+Parametreler!$B$4*K67*E67</x:f>
        <x:v>0.4840722266127053</x:v>
      </x:c>
      <x:c r="O67" s="28" t="n">
        <x:f>I67+Parametreler!$B$4*K67</x:f>
        <x:v>-0.5108229832562033</x:v>
      </x:c>
    </x:row>
    <x:row r="68">
      <x:c r="A68" t="n">
        <x:f>ROW()-4</x:f>
        <x:v>64</x:v>
      </x:c>
      <x:c r="B68" t="n">
        <x:f>INT((A68-1)/Parametreler!$B$9)+1</x:f>
        <x:v>16</x:v>
      </x:c>
      <x:c r="C68" t="n">
        <x:f>MOD(A68-1,Parametreler!$B$9)+1</x:f>
        <x:v>4</x:v>
      </x:c>
      <x:c r="D68" t="n">
        <x:f>INDEX(Veri!$B$5:$B$8,C68)</x:f>
        <x:v>1</x:v>
      </x:c>
      <x:c r="E68" t="n">
        <x:f>INDEX(Veri!$C$5:$C$8,C68)</x:f>
        <x:v>1</x:v>
      </x:c>
      <x:c r="F68" t="n">
        <x:f>INDEX(Veri!$D$5:$D$8,C68)</x:f>
        <x:v>1</x:v>
      </x:c>
      <x:c r="G68" s="28" t="n">
        <x:f>M67</x:f>
        <x:v>0.4696023264645448</x:v>
      </x:c>
      <x:c r="H68" s="28" t="n">
        <x:f>N67</x:f>
        <x:v>0.4840722266127053</x:v>
      </x:c>
      <x:c r="I68" s="28" t="n">
        <x:f>O67</x:f>
        <x:v>-0.5108229832562033</x:v>
      </x:c>
      <x:c r="J68" s="30" t="n">
        <x:f>G68*D68+H68*E68+I68</x:f>
        <x:v>0.4428515698210468</x:v>
      </x:c>
      <x:c r="K68" s="30" t="n">
        <x:f>F68-J68</x:f>
        <x:v>0.5571484301789532</x:v>
      </x:c>
      <x:c r="L68" s="30" t="n">
        <x:f>K68^2</x:f>
        <x:v>0.3104143732508719</x:v>
      </x:c>
      <x:c r="M68" s="28" t="n">
        <x:f>G68+Parametreler!$B$4*K68*D68</x:f>
        <x:v>0.49745974797349246</x:v>
      </x:c>
      <x:c r="N68" s="28" t="n">
        <x:f>H68+Parametreler!$B$4*K68*E68</x:f>
        <x:v>0.511929648121653</x:v>
      </x:c>
      <x:c r="O68" s="28" t="n">
        <x:f>I68+Parametreler!$B$4*K68</x:f>
        <x:v>-0.4829655617472557</x:v>
      </x:c>
    </x:row>
    <x:row r="69">
      <x:c r="A69" t="n">
        <x:f>ROW()-4</x:f>
        <x:v>65</x:v>
      </x:c>
      <x:c r="B69" t="n">
        <x:f>INT((A69-1)/Parametreler!$B$9)+1</x:f>
        <x:v>17</x:v>
      </x:c>
      <x:c r="C69" t="n">
        <x:f>MOD(A69-1,Parametreler!$B$9)+1</x:f>
        <x:v>1</x:v>
      </x:c>
      <x:c r="D69" t="n">
        <x:f>INDEX(Veri!$B$5:$B$8,C69)</x:f>
        <x:v>-1</x:v>
      </x:c>
      <x:c r="E69" t="n">
        <x:f>INDEX(Veri!$C$5:$C$8,C69)</x:f>
        <x:v>-1</x:v>
      </x:c>
      <x:c r="F69" t="n">
        <x:f>INDEX(Veri!$D$5:$D$8,C69)</x:f>
        <x:v>-1</x:v>
      </x:c>
      <x:c r="G69" s="28" t="n">
        <x:f>M68</x:f>
        <x:v>0.49745974797349246</x:v>
      </x:c>
      <x:c r="H69" s="28" t="n">
        <x:f>N68</x:f>
        <x:v>0.511929648121653</x:v>
      </x:c>
      <x:c r="I69" s="28" t="n">
        <x:f>O68</x:f>
        <x:v>-0.4829655617472557</x:v>
      </x:c>
      <x:c r="J69" s="30" t="n">
        <x:f>G69*D69+H69*E69+I69</x:f>
        <x:v>-1.4923549578424011</x:v>
      </x:c>
      <x:c r="K69" s="30" t="n">
        <x:f>F69-J69</x:f>
        <x:v>0.49235495784240113</x:v>
      </x:c>
      <x:c r="L69" s="30" t="n">
        <x:f>K69^2</x:f>
        <x:v>0.2424134045119926</x:v>
      </x:c>
      <x:c r="M69" s="28" t="n">
        <x:f>G69+Parametreler!$B$4*K69*D69</x:f>
        <x:v>0.4728420000813724</x:v>
      </x:c>
      <x:c r="N69" s="28" t="n">
        <x:f>H69+Parametreler!$B$4*K69*E69</x:f>
        <x:v>0.4873119002295329</x:v>
      </x:c>
      <x:c r="O69" s="28" t="n">
        <x:f>I69+Parametreler!$B$4*K69</x:f>
        <x:v>-0.4583478138551356</x:v>
      </x:c>
    </x:row>
    <x:row r="70">
      <x:c r="A70" t="n">
        <x:f>ROW()-4</x:f>
        <x:v>66</x:v>
      </x:c>
      <x:c r="B70" t="n">
        <x:f>INT((A70-1)/Parametreler!$B$9)+1</x:f>
        <x:v>17</x:v>
      </x:c>
      <x:c r="C70" t="n">
        <x:f>MOD(A70-1,Parametreler!$B$9)+1</x:f>
        <x:v>2</x:v>
      </x:c>
      <x:c r="D70" t="n">
        <x:f>INDEX(Veri!$B$5:$B$8,C70)</x:f>
        <x:v>-1</x:v>
      </x:c>
      <x:c r="E70" t="n">
        <x:f>INDEX(Veri!$C$5:$C$8,C70)</x:f>
        <x:v>1</x:v>
      </x:c>
      <x:c r="F70" t="n">
        <x:f>INDEX(Veri!$D$5:$D$8,C70)</x:f>
        <x:v>-1</x:v>
      </x:c>
      <x:c r="G70" s="28" t="n">
        <x:f>M69</x:f>
        <x:v>0.4728420000813724</x:v>
      </x:c>
      <x:c r="H70" s="28" t="n">
        <x:f>N69</x:f>
        <x:v>0.4873119002295329</x:v>
      </x:c>
      <x:c r="I70" s="28" t="n">
        <x:f>O69</x:f>
        <x:v>-0.4583478138551356</x:v>
      </x:c>
      <x:c r="J70" s="30" t="n">
        <x:f>G70*D70+H70*E70+I70</x:f>
        <x:v>-0.4438779137069751</x:v>
      </x:c>
      <x:c r="K70" s="30" t="n">
        <x:f>F70-J70</x:f>
        <x:v>-0.556122086293025</x:v>
      </x:c>
      <x:c r="L70" s="30" t="n">
        <x:f>K70^2</x:f>
        <x:v>0.3092717748629067</x:v>
      </x:c>
      <x:c r="M70" s="28" t="n">
        <x:f>G70+Parametreler!$B$4*K70*D70</x:f>
        <x:v>0.5006481043960236</x:v>
      </x:c>
      <x:c r="N70" s="28" t="n">
        <x:f>H70+Parametreler!$B$4*K70*E70</x:f>
        <x:v>0.45950579591488167</x:v>
      </x:c>
      <x:c r="O70" s="28" t="n">
        <x:f>I70+Parametreler!$B$4*K70</x:f>
        <x:v>-0.48615391816978687</x:v>
      </x:c>
    </x:row>
    <x:row r="71">
      <x:c r="A71" t="n">
        <x:f>ROW()-4</x:f>
        <x:v>67</x:v>
      </x:c>
      <x:c r="B71" t="n">
        <x:f>INT((A71-1)/Parametreler!$B$9)+1</x:f>
        <x:v>17</x:v>
      </x:c>
      <x:c r="C71" t="n">
        <x:f>MOD(A71-1,Parametreler!$B$9)+1</x:f>
        <x:v>3</x:v>
      </x:c>
      <x:c r="D71" t="n">
        <x:f>INDEX(Veri!$B$5:$B$8,C71)</x:f>
        <x:v>1</x:v>
      </x:c>
      <x:c r="E71" t="n">
        <x:f>INDEX(Veri!$C$5:$C$8,C71)</x:f>
        <x:v>-1</x:v>
      </x:c>
      <x:c r="F71" t="n">
        <x:f>INDEX(Veri!$D$5:$D$8,C71)</x:f>
        <x:v>-1</x:v>
      </x:c>
      <x:c r="G71" s="28" t="n">
        <x:f>M70</x:f>
        <x:v>0.5006481043960236</x:v>
      </x:c>
      <x:c r="H71" s="28" t="n">
        <x:f>N70</x:f>
        <x:v>0.45950579591488167</x:v>
      </x:c>
      <x:c r="I71" s="28" t="n">
        <x:f>O70</x:f>
        <x:v>-0.48615391816978687</x:v>
      </x:c>
      <x:c r="J71" s="30" t="n">
        <x:f>G71*D71+H71*E71+I71</x:f>
        <x:v>-0.44501160968864495</x:v>
      </x:c>
      <x:c r="K71" s="30" t="n">
        <x:f>F71-J71</x:f>
        <x:v>-0.554988390311355</x:v>
      </x:c>
      <x:c r="L71" s="30" t="n">
        <x:f>K71^2</x:f>
        <x:v>0.308012113380389</x:v>
      </x:c>
      <x:c r="M71" s="28" t="n">
        <x:f>G71+Parametreler!$B$4*K71*D71</x:f>
        <x:v>0.47289868488045583</x:v>
      </x:c>
      <x:c r="N71" s="28" t="n">
        <x:f>H71+Parametreler!$B$4*K71*E71</x:f>
        <x:v>0.4872552154304494</x:v>
      </x:c>
      <x:c r="O71" s="28" t="n">
        <x:f>I71+Parametreler!$B$4*K71</x:f>
        <x:v>-0.5139033376853546</x:v>
      </x:c>
    </x:row>
    <x:row r="72">
      <x:c r="A72" t="n">
        <x:f>ROW()-4</x:f>
        <x:v>68</x:v>
      </x:c>
      <x:c r="B72" t="n">
        <x:f>INT((A72-1)/Parametreler!$B$9)+1</x:f>
        <x:v>17</x:v>
      </x:c>
      <x:c r="C72" t="n">
        <x:f>MOD(A72-1,Parametreler!$B$9)+1</x:f>
        <x:v>4</x:v>
      </x:c>
      <x:c r="D72" t="n">
        <x:f>INDEX(Veri!$B$5:$B$8,C72)</x:f>
        <x:v>1</x:v>
      </x:c>
      <x:c r="E72" t="n">
        <x:f>INDEX(Veri!$C$5:$C$8,C72)</x:f>
        <x:v>1</x:v>
      </x:c>
      <x:c r="F72" t="n">
        <x:f>INDEX(Veri!$D$5:$D$8,C72)</x:f>
        <x:v>1</x:v>
      </x:c>
      <x:c r="G72" s="28" t="n">
        <x:f>M71</x:f>
        <x:v>0.47289868488045583</x:v>
      </x:c>
      <x:c r="H72" s="28" t="n">
        <x:f>N71</x:f>
        <x:v>0.4872552154304494</x:v>
      </x:c>
      <x:c r="I72" s="28" t="n">
        <x:f>O71</x:f>
        <x:v>-0.5139033376853546</x:v>
      </x:c>
      <x:c r="J72" s="30" t="n">
        <x:f>G72*D72+H72*E72+I72</x:f>
        <x:v>0.44625056262555063</x:v>
      </x:c>
      <x:c r="K72" s="30" t="n">
        <x:f>F72-J72</x:f>
        <x:v>0.5537494373744494</x:v>
      </x:c>
      <x:c r="L72" s="30" t="n">
        <x:f>K72^2</x:f>
        <x:v>0.3066384393925192</x:v>
      </x:c>
      <x:c r="M72" s="28" t="n">
        <x:f>G72+Parametreler!$B$4*K72*D72</x:f>
        <x:v>0.5005861567491783</x:v>
      </x:c>
      <x:c r="N72" s="28" t="n">
        <x:f>H72+Parametreler!$B$4*K72*E72</x:f>
        <x:v>0.5149426872991719</x:v>
      </x:c>
      <x:c r="O72" s="28" t="n">
        <x:f>I72+Parametreler!$B$4*K72</x:f>
        <x:v>-0.4862158658166321</x:v>
      </x:c>
    </x:row>
    <x:row r="73">
      <x:c r="A73" t="n">
        <x:f>ROW()-4</x:f>
        <x:v>69</x:v>
      </x:c>
      <x:c r="B73" t="n">
        <x:f>INT((A73-1)/Parametreler!$B$9)+1</x:f>
        <x:v>18</x:v>
      </x:c>
      <x:c r="C73" t="n">
        <x:f>MOD(A73-1,Parametreler!$B$9)+1</x:f>
        <x:v>1</x:v>
      </x:c>
      <x:c r="D73" t="n">
        <x:f>INDEX(Veri!$B$5:$B$8,C73)</x:f>
        <x:v>-1</x:v>
      </x:c>
      <x:c r="E73" t="n">
        <x:f>INDEX(Veri!$C$5:$C$8,C73)</x:f>
        <x:v>-1</x:v>
      </x:c>
      <x:c r="F73" t="n">
        <x:f>INDEX(Veri!$D$5:$D$8,C73)</x:f>
        <x:v>-1</x:v>
      </x:c>
      <x:c r="G73" s="28" t="n">
        <x:f>M72</x:f>
        <x:v>0.5005861567491783</x:v>
      </x:c>
      <x:c r="H73" s="28" t="n">
        <x:f>N72</x:f>
        <x:v>0.5149426872991719</x:v>
      </x:c>
      <x:c r="I73" s="28" t="n">
        <x:f>O72</x:f>
        <x:v>-0.4862158658166321</x:v>
      </x:c>
      <x:c r="J73" s="30" t="n">
        <x:f>G73*D73+H73*E73+I73</x:f>
        <x:v>-1.5017447098649823</x:v>
      </x:c>
      <x:c r="K73" s="30" t="n">
        <x:f>F73-J73</x:f>
        <x:v>0.5017447098649823</x:v>
      </x:c>
      <x:c r="L73" s="30" t="n">
        <x:f>K73^2</x:f>
        <x:v>0.25174775387749526</x:v>
      </x:c>
      <x:c r="M73" s="28" t="n">
        <x:f>G73+Parametreler!$B$4*K73*D73</x:f>
        <x:v>0.4754989212559292</x:v>
      </x:c>
      <x:c r="N73" s="28" t="n">
        <x:f>H73+Parametreler!$B$4*K73*E73</x:f>
        <x:v>0.4898554518059228</x:v>
      </x:c>
      <x:c r="O73" s="28" t="n">
        <x:f>I73+Parametreler!$B$4*K73</x:f>
        <x:v>-0.461128630323383</x:v>
      </x:c>
    </x:row>
    <x:row r="74">
      <x:c r="A74" t="n">
        <x:f>ROW()-4</x:f>
        <x:v>70</x:v>
      </x:c>
      <x:c r="B74" t="n">
        <x:f>INT((A74-1)/Parametreler!$B$9)+1</x:f>
        <x:v>18</x:v>
      </x:c>
      <x:c r="C74" t="n">
        <x:f>MOD(A74-1,Parametreler!$B$9)+1</x:f>
        <x:v>2</x:v>
      </x:c>
      <x:c r="D74" t="n">
        <x:f>INDEX(Veri!$B$5:$B$8,C74)</x:f>
        <x:v>-1</x:v>
      </x:c>
      <x:c r="E74" t="n">
        <x:f>INDEX(Veri!$C$5:$C$8,C74)</x:f>
        <x:v>1</x:v>
      </x:c>
      <x:c r="F74" t="n">
        <x:f>INDEX(Veri!$D$5:$D$8,C74)</x:f>
        <x:v>-1</x:v>
      </x:c>
      <x:c r="G74" s="28" t="n">
        <x:f>M73</x:f>
        <x:v>0.4754989212559292</x:v>
      </x:c>
      <x:c r="H74" s="28" t="n">
        <x:f>N73</x:f>
        <x:v>0.4898554518059228</x:v>
      </x:c>
      <x:c r="I74" s="28" t="n">
        <x:f>O73</x:f>
        <x:v>-0.461128630323383</x:v>
      </x:c>
      <x:c r="J74" s="30" t="n">
        <x:f>G74*D74+H74*E74+I74</x:f>
        <x:v>-0.4467720997733894</x:v>
      </x:c>
      <x:c r="K74" s="30" t="n">
        <x:f>F74-J74</x:f>
        <x:v>-0.5532279002266106</x:v>
      </x:c>
      <x:c r="L74" s="30" t="n">
        <x:f>K74^2</x:f>
        <x:v>0.3060611095891446</x:v>
      </x:c>
      <x:c r="M74" s="28" t="n">
        <x:f>G74+Parametreler!$B$4*K74*D74</x:f>
        <x:v>0.5031603162672598</x:v>
      </x:c>
      <x:c r="N74" s="28" t="n">
        <x:f>H74+Parametreler!$B$4*K74*E74</x:f>
        <x:v>0.4621940567945923</x:v>
      </x:c>
      <x:c r="O74" s="28" t="n">
        <x:f>I74+Parametreler!$B$4*K74</x:f>
        <x:v>-0.48879002533471355</x:v>
      </x:c>
    </x:row>
    <x:row r="75">
      <x:c r="A75" t="n">
        <x:f>ROW()-4</x:f>
        <x:v>71</x:v>
      </x:c>
      <x:c r="B75" t="n">
        <x:f>INT((A75-1)/Parametreler!$B$9)+1</x:f>
        <x:v>18</x:v>
      </x:c>
      <x:c r="C75" t="n">
        <x:f>MOD(A75-1,Parametreler!$B$9)+1</x:f>
        <x:v>3</x:v>
      </x:c>
      <x:c r="D75" t="n">
        <x:f>INDEX(Veri!$B$5:$B$8,C75)</x:f>
        <x:v>1</x:v>
      </x:c>
      <x:c r="E75" t="n">
        <x:f>INDEX(Veri!$C$5:$C$8,C75)</x:f>
        <x:v>-1</x:v>
      </x:c>
      <x:c r="F75" t="n">
        <x:f>INDEX(Veri!$D$5:$D$8,C75)</x:f>
        <x:v>-1</x:v>
      </x:c>
      <x:c r="G75" s="28" t="n">
        <x:f>M74</x:f>
        <x:v>0.5031603162672598</x:v>
      </x:c>
      <x:c r="H75" s="28" t="n">
        <x:f>N74</x:f>
        <x:v>0.4621940567945923</x:v>
      </x:c>
      <x:c r="I75" s="28" t="n">
        <x:f>O74</x:f>
        <x:v>-0.48879002533471355</x:v>
      </x:c>
      <x:c r="J75" s="30" t="n">
        <x:f>G75*D75+H75*E75+I75</x:f>
        <x:v>-0.4478237658620461</x:v>
      </x:c>
      <x:c r="K75" s="30" t="n">
        <x:f>F75-J75</x:f>
        <x:v>-0.5521762341379539</x:v>
      </x:c>
      <x:c r="L75" s="30" t="n">
        <x:f>K75^2</x:f>
        <x:v>0.3048985935467725</x:v>
      </x:c>
      <x:c r="M75" s="28" t="n">
        <x:f>G75+Parametreler!$B$4*K75*D75</x:f>
        <x:v>0.47555150456036205</x:v>
      </x:c>
      <x:c r="N75" s="28" t="n">
        <x:f>H75+Parametreler!$B$4*K75*E75</x:f>
        <x:v>0.48980286850149</x:v>
      </x:c>
      <x:c r="O75" s="28" t="n">
        <x:f>I75+Parametreler!$B$4*K75</x:f>
        <x:v>-0.5163988370416113</x:v>
      </x:c>
    </x:row>
    <x:row r="76">
      <x:c r="A76" t="n">
        <x:f>ROW()-4</x:f>
        <x:v>72</x:v>
      </x:c>
      <x:c r="B76" t="n">
        <x:f>INT((A76-1)/Parametreler!$B$9)+1</x:f>
        <x:v>18</x:v>
      </x:c>
      <x:c r="C76" t="n">
        <x:f>MOD(A76-1,Parametreler!$B$9)+1</x:f>
        <x:v>4</x:v>
      </x:c>
      <x:c r="D76" t="n">
        <x:f>INDEX(Veri!$B$5:$B$8,C76)</x:f>
        <x:v>1</x:v>
      </x:c>
      <x:c r="E76" t="n">
        <x:f>INDEX(Veri!$C$5:$C$8,C76)</x:f>
        <x:v>1</x:v>
      </x:c>
      <x:c r="F76" t="n">
        <x:f>INDEX(Veri!$D$5:$D$8,C76)</x:f>
        <x:v>1</x:v>
      </x:c>
      <x:c r="G76" s="28" t="n">
        <x:f>M75</x:f>
        <x:v>0.47555150456036205</x:v>
      </x:c>
      <x:c r="H76" s="28" t="n">
        <x:f>N75</x:f>
        <x:v>0.48980286850149</x:v>
      </x:c>
      <x:c r="I76" s="28" t="n">
        <x:f>O75</x:f>
        <x:v>-0.5163988370416113</x:v>
      </x:c>
      <x:c r="J76" s="30" t="n">
        <x:f>G76*D76+H76*E76+I76</x:f>
        <x:v>0.44895553602024085</x:v>
      </x:c>
      <x:c r="K76" s="30" t="n">
        <x:f>F76-J76</x:f>
        <x:v>0.5510444639797591</x:v>
      </x:c>
      <x:c r="L76" s="30" t="n">
        <x:f>K76^2</x:f>
        <x:v>0.30365000128274006</x:v>
      </x:c>
      <x:c r="M76" s="28" t="n">
        <x:f>G76+Parametreler!$B$4*K76*D76</x:f>
        <x:v>0.50310372775935</x:v>
      </x:c>
      <x:c r="N76" s="28" t="n">
        <x:f>H76+Parametreler!$B$4*K76*E76</x:f>
        <x:v>0.517355091700478</x:v>
      </x:c>
      <x:c r="O76" s="28" t="n">
        <x:f>I76+Parametreler!$B$4*K76</x:f>
        <x:v>-0.4888466138426233</x:v>
      </x:c>
    </x:row>
    <x:row r="77">
      <x:c r="A77" t="n">
        <x:f>ROW()-4</x:f>
        <x:v>73</x:v>
      </x:c>
      <x:c r="B77" t="n">
        <x:f>INT((A77-1)/Parametreler!$B$9)+1</x:f>
        <x:v>19</x:v>
      </x:c>
      <x:c r="C77" t="n">
        <x:f>MOD(A77-1,Parametreler!$B$9)+1</x:f>
        <x:v>1</x:v>
      </x:c>
      <x:c r="D77" t="n">
        <x:f>INDEX(Veri!$B$5:$B$8,C77)</x:f>
        <x:v>-1</x:v>
      </x:c>
      <x:c r="E77" t="n">
        <x:f>INDEX(Veri!$C$5:$C$8,C77)</x:f>
        <x:v>-1</x:v>
      </x:c>
      <x:c r="F77" t="n">
        <x:f>INDEX(Veri!$D$5:$D$8,C77)</x:f>
        <x:v>-1</x:v>
      </x:c>
      <x:c r="G77" s="28" t="n">
        <x:f>M76</x:f>
        <x:v>0.50310372775935</x:v>
      </x:c>
      <x:c r="H77" s="28" t="n">
        <x:f>N76</x:f>
        <x:v>0.517355091700478</x:v>
      </x:c>
      <x:c r="I77" s="28" t="n">
        <x:f>O76</x:f>
        <x:v>-0.4888466138426233</x:v>
      </x:c>
      <x:c r="J77" s="30" t="n">
        <x:f>G77*D77+H77*E77+I77</x:f>
        <x:v>-1.5093054333024514</x:v>
      </x:c>
      <x:c r="K77" s="30" t="n">
        <x:f>F77-J77</x:f>
        <x:v>0.5093054333024514</x:v>
      </x:c>
      <x:c r="L77" s="30" t="n">
        <x:f>K77^2</x:f>
        <x:v>0.25939202439139775</x:v>
      </x:c>
      <x:c r="M77" s="28" t="n">
        <x:f>G77+Parametreler!$B$4*K77*D77</x:f>
        <x:v>0.4776384560942274</x:v>
      </x:c>
      <x:c r="N77" s="28" t="n">
        <x:f>H77+Parametreler!$B$4*K77*E77</x:f>
        <x:v>0.4918898200353554</x:v>
      </x:c>
      <x:c r="O77" s="28" t="n">
        <x:f>I77+Parametreler!$B$4*K77</x:f>
        <x:v>-0.4633813421775007</x:v>
      </x:c>
    </x:row>
    <x:row r="78">
      <x:c r="A78" t="n">
        <x:f>ROW()-4</x:f>
        <x:v>74</x:v>
      </x:c>
      <x:c r="B78" t="n">
        <x:f>INT((A78-1)/Parametreler!$B$9)+1</x:f>
        <x:v>19</x:v>
      </x:c>
      <x:c r="C78" t="n">
        <x:f>MOD(A78-1,Parametreler!$B$9)+1</x:f>
        <x:v>2</x:v>
      </x:c>
      <x:c r="D78" t="n">
        <x:f>INDEX(Veri!$B$5:$B$8,C78)</x:f>
        <x:v>-1</x:v>
      </x:c>
      <x:c r="E78" t="n">
        <x:f>INDEX(Veri!$C$5:$C$8,C78)</x:f>
        <x:v>1</x:v>
      </x:c>
      <x:c r="F78" t="n">
        <x:f>INDEX(Veri!$D$5:$D$8,C78)</x:f>
        <x:v>-1</x:v>
      </x:c>
      <x:c r="G78" s="28" t="n">
        <x:f>M77</x:f>
        <x:v>0.4776384560942274</x:v>
      </x:c>
      <x:c r="H78" s="28" t="n">
        <x:f>N77</x:f>
        <x:v>0.4918898200353554</x:v>
      </x:c>
      <x:c r="I78" s="28" t="n">
        <x:f>O77</x:f>
        <x:v>-0.4633813421775007</x:v>
      </x:c>
      <x:c r="J78" s="30" t="n">
        <x:f>G78*D78+H78*E78+I78</x:f>
        <x:v>-0.4491299782363727</x:v>
      </x:c>
      <x:c r="K78" s="30" t="n">
        <x:f>F78-J78</x:f>
        <x:v>-0.5508700217636273</x:v>
      </x:c>
      <x:c r="L78" s="30" t="n">
        <x:f>K78^2</x:f>
        <x:v>0.30345778087785924</x:v>
      </x:c>
      <x:c r="M78" s="28" t="n">
        <x:f>G78+Parametreler!$B$4*K78*D78</x:f>
        <x:v>0.5051819571824088</x:v>
      </x:c>
      <x:c r="N78" s="28" t="n">
        <x:f>H78+Parametreler!$B$4*K78*E78</x:f>
        <x:v>0.46434631894717404</x:v>
      </x:c>
      <x:c r="O78" s="28" t="n">
        <x:f>I78+Parametreler!$B$4*K78</x:f>
        <x:v>-0.4909248432656821</x:v>
      </x:c>
    </x:row>
    <x:row r="79">
      <x:c r="A79" t="n">
        <x:f>ROW()-4</x:f>
        <x:v>75</x:v>
      </x:c>
      <x:c r="B79" t="n">
        <x:f>INT((A79-1)/Parametreler!$B$9)+1</x:f>
        <x:v>19</x:v>
      </x:c>
      <x:c r="C79" t="n">
        <x:f>MOD(A79-1,Parametreler!$B$9)+1</x:f>
        <x:v>3</x:v>
      </x:c>
      <x:c r="D79" t="n">
        <x:f>INDEX(Veri!$B$5:$B$8,C79)</x:f>
        <x:v>1</x:v>
      </x:c>
      <x:c r="E79" t="n">
        <x:f>INDEX(Veri!$C$5:$C$8,C79)</x:f>
        <x:v>-1</x:v>
      </x:c>
      <x:c r="F79" t="n">
        <x:f>INDEX(Veri!$D$5:$D$8,C79)</x:f>
        <x:v>-1</x:v>
      </x:c>
      <x:c r="G79" s="28" t="n">
        <x:f>M78</x:f>
        <x:v>0.5051819571824088</x:v>
      </x:c>
      <x:c r="H79" s="28" t="n">
        <x:f>N78</x:f>
        <x:v>0.46434631894717404</x:v>
      </x:c>
      <x:c r="I79" s="28" t="n">
        <x:f>O78</x:f>
        <x:v>-0.4909248432656821</x:v>
      </x:c>
      <x:c r="J79" s="30" t="n">
        <x:f>G79*D79+H79*E79+I79</x:f>
        <x:v>-0.45008920503044736</x:v>
      </x:c>
      <x:c r="K79" s="30" t="n">
        <x:f>F79-J79</x:f>
        <x:v>-0.5499107949695526</x:v>
      </x:c>
      <x:c r="L79" s="30" t="n">
        <x:f>K79^2</x:f>
        <x:v>0.30240188242404537</x:v>
      </x:c>
      <x:c r="M79" s="28" t="n">
        <x:f>G79+Parametreler!$B$4*K79*D79</x:f>
        <x:v>0.47768641743393114</x:v>
      </x:c>
      <x:c r="N79" s="28" t="n">
        <x:f>H79+Parametreler!$B$4*K79*E79</x:f>
        <x:v>0.49184185869565167</x:v>
      </x:c>
      <x:c r="O79" s="28" t="n">
        <x:f>I79+Parametreler!$B$4*K79</x:f>
        <x:v>-0.5184203830141597</x:v>
      </x:c>
    </x:row>
    <x:row r="80">
      <x:c r="A80" t="n">
        <x:f>ROW()-4</x:f>
        <x:v>76</x:v>
      </x:c>
      <x:c r="B80" t="n">
        <x:f>INT((A80-1)/Parametreler!$B$9)+1</x:f>
        <x:v>19</x:v>
      </x:c>
      <x:c r="C80" t="n">
        <x:f>MOD(A80-1,Parametreler!$B$9)+1</x:f>
        <x:v>4</x:v>
      </x:c>
      <x:c r="D80" t="n">
        <x:f>INDEX(Veri!$B$5:$B$8,C80)</x:f>
        <x:v>1</x:v>
      </x:c>
      <x:c r="E80" t="n">
        <x:f>INDEX(Veri!$C$5:$C$8,C80)</x:f>
        <x:v>1</x:v>
      </x:c>
      <x:c r="F80" t="n">
        <x:f>INDEX(Veri!$D$5:$D$8,C80)</x:f>
        <x:v>1</x:v>
      </x:c>
      <x:c r="G80" s="28" t="n">
        <x:f>M79</x:f>
        <x:v>0.47768641743393114</x:v>
      </x:c>
      <x:c r="H80" s="28" t="n">
        <x:f>N79</x:f>
        <x:v>0.49184185869565167</x:v>
      </x:c>
      <x:c r="I80" s="28" t="n">
        <x:f>O79</x:f>
        <x:v>-0.5184203830141597</x:v>
      </x:c>
      <x:c r="J80" s="30" t="n">
        <x:f>G80*D80+H80*E80+I80</x:f>
        <x:v>0.4511078931154231</x:v>
      </x:c>
      <x:c r="K80" s="30" t="n">
        <x:f>F80-J80</x:f>
        <x:v>0.5488921068845769</x:v>
      </x:c>
      <x:c r="L80" s="30" t="n">
        <x:f>K80^2</x:f>
        <x:v>0.3012825450001898</x:v>
      </x:c>
      <x:c r="M80" s="28" t="n">
        <x:f>G80+Parametreler!$B$4*K80*D80</x:f>
        <x:v>0.50513102277816</x:v>
      </x:c>
      <x:c r="N80" s="28" t="n">
        <x:f>H80+Parametreler!$B$4*K80*E80</x:f>
        <x:v>0.5192864640398805</x:v>
      </x:c>
      <x:c r="O80" s="28" t="n">
        <x:f>I80+Parametreler!$B$4*K80</x:f>
        <x:v>-0.4909757776699309</x:v>
      </x:c>
    </x:row>
    <x:row r="81">
      <x:c r="A81" t="n">
        <x:f>ROW()-4</x:f>
        <x:v>77</x:v>
      </x:c>
      <x:c r="B81" t="n">
        <x:f>INT((A81-1)/Parametreler!$B$9)+1</x:f>
        <x:v>20</x:v>
      </x:c>
      <x:c r="C81" t="n">
        <x:f>MOD(A81-1,Parametreler!$B$9)+1</x:f>
        <x:v>1</x:v>
      </x:c>
      <x:c r="D81" t="n">
        <x:f>INDEX(Veri!$B$5:$B$8,C81)</x:f>
        <x:v>-1</x:v>
      </x:c>
      <x:c r="E81" t="n">
        <x:f>INDEX(Veri!$C$5:$C$8,C81)</x:f>
        <x:v>-1</x:v>
      </x:c>
      <x:c r="F81" t="n">
        <x:f>INDEX(Veri!$D$5:$D$8,C81)</x:f>
        <x:v>-1</x:v>
      </x:c>
      <x:c r="G81" s="28" t="n">
        <x:f>M80</x:f>
        <x:v>0.50513102277816</x:v>
      </x:c>
      <x:c r="H81" s="28" t="n">
        <x:f>N80</x:f>
        <x:v>0.5192864640398805</x:v>
      </x:c>
      <x:c r="I81" s="28" t="n">
        <x:f>O80</x:f>
        <x:v>-0.4909757776699309</x:v>
      </x:c>
      <x:c r="J81" s="30" t="n">
        <x:f>G81*D81+H81*E81+I81</x:f>
        <x:v>-1.5153932644879715</x:v>
      </x:c>
      <x:c r="K81" s="30" t="n">
        <x:f>F81-J81</x:f>
        <x:v>0.5153932644879715</x:v>
      </x:c>
      <x:c r="L81" s="30" t="n">
        <x:f>K81^2</x:f>
        <x:v>0.26563021707956813</x:v>
      </x:c>
      <x:c r="M81" s="28" t="n">
        <x:f>G81+Parametreler!$B$4*K81*D81</x:f>
        <x:v>0.47936135955376147</x:v>
      </x:c>
      <x:c r="N81" s="28" t="n">
        <x:f>H81+Parametreler!$B$4*K81*E81</x:f>
        <x:v>0.493516800815482</x:v>
      </x:c>
      <x:c r="O81" s="28" t="n">
        <x:f>I81+Parametreler!$B$4*K81</x:f>
        <x:v>-0.46520611444553234</x:v>
      </x:c>
    </x:row>
    <x:row r="82">
      <x:c r="A82" t="n">
        <x:f>ROW()-4</x:f>
        <x:v>78</x:v>
      </x:c>
      <x:c r="B82" t="n">
        <x:f>INT((A82-1)/Parametreler!$B$9)+1</x:f>
        <x:v>20</x:v>
      </x:c>
      <x:c r="C82" t="n">
        <x:f>MOD(A82-1,Parametreler!$B$9)+1</x:f>
        <x:v>2</x:v>
      </x:c>
      <x:c r="D82" t="n">
        <x:f>INDEX(Veri!$B$5:$B$8,C82)</x:f>
        <x:v>-1</x:v>
      </x:c>
      <x:c r="E82" t="n">
        <x:f>INDEX(Veri!$C$5:$C$8,C82)</x:f>
        <x:v>1</x:v>
      </x:c>
      <x:c r="F82" t="n">
        <x:f>INDEX(Veri!$D$5:$D$8,C82)</x:f>
        <x:v>-1</x:v>
      </x:c>
      <x:c r="G82" s="28" t="n">
        <x:f>M81</x:f>
        <x:v>0.47936135955376147</x:v>
      </x:c>
      <x:c r="H82" s="28" t="n">
        <x:f>N81</x:f>
        <x:v>0.493516800815482</x:v>
      </x:c>
      <x:c r="I82" s="28" t="n">
        <x:f>O81</x:f>
        <x:v>-0.46520611444553234</x:v>
      </x:c>
      <x:c r="J82" s="30" t="n">
        <x:f>G82*D82+H82*E82+I82</x:f>
        <x:v>-0.4510506731838118</x:v>
      </x:c>
      <x:c r="K82" s="30" t="n">
        <x:f>F82-J82</x:f>
        <x:v>-0.5489493268161882</x:v>
      </x:c>
      <x:c r="L82" s="30" t="n">
        <x:f>K82^2</x:f>
        <x:v>0.30134536341194623</x:v>
      </x:c>
      <x:c r="M82" s="28" t="n">
        <x:f>G82+Parametreler!$B$4*K82*D82</x:f>
        <x:v>0.5068088258945709</x:v>
      </x:c>
      <x:c r="N82" s="28" t="n">
        <x:f>H82+Parametreler!$B$4*K82*E82</x:f>
        <x:v>0.4660693344746726</x:v>
      </x:c>
      <x:c r="O82" s="28" t="n">
        <x:f>I82+Parametreler!$B$4*K82</x:f>
        <x:v>-0.49265358078634175</x:v>
      </x:c>
    </x:row>
    <x:row r="83">
      <x:c r="A83" t="n">
        <x:f>ROW()-4</x:f>
        <x:v>79</x:v>
      </x:c>
      <x:c r="B83" t="n">
        <x:f>INT((A83-1)/Parametreler!$B$9)+1</x:f>
        <x:v>20</x:v>
      </x:c>
      <x:c r="C83" t="n">
        <x:f>MOD(A83-1,Parametreler!$B$9)+1</x:f>
        <x:v>3</x:v>
      </x:c>
      <x:c r="D83" t="n">
        <x:f>INDEX(Veri!$B$5:$B$8,C83)</x:f>
        <x:v>1</x:v>
      </x:c>
      <x:c r="E83" t="n">
        <x:f>INDEX(Veri!$C$5:$C$8,C83)</x:f>
        <x:v>-1</x:v>
      </x:c>
      <x:c r="F83" t="n">
        <x:f>INDEX(Veri!$D$5:$D$8,C83)</x:f>
        <x:v>-1</x:v>
      </x:c>
      <x:c r="G83" s="28" t="n">
        <x:f>M82</x:f>
        <x:v>0.5068088258945709</x:v>
      </x:c>
      <x:c r="H83" s="28" t="n">
        <x:f>N82</x:f>
        <x:v>0.4660693344746726</x:v>
      </x:c>
      <x:c r="I83" s="28" t="n">
        <x:f>O82</x:f>
        <x:v>-0.49265358078634175</x:v>
      </x:c>
      <x:c r="J83" s="30" t="n">
        <x:f>G83*D83+H83*E83+I83</x:f>
        <x:v>-0.45191408936644345</x:v>
      </x:c>
      <x:c r="K83" s="30" t="n">
        <x:f>F83-J83</x:f>
        <x:v>-0.5480859106335565</x:v>
      </x:c>
      <x:c r="L83" s="30" t="n">
        <x:f>K83^2</x:f>
        <x:v>0.30039816543501485</x:v>
      </x:c>
      <x:c r="M83" s="28" t="n">
        <x:f>G83+Parametreler!$B$4*K83*D83</x:f>
        <x:v>0.47940453036289304</x:v>
      </x:c>
      <x:c r="N83" s="28" t="n">
        <x:f>H83+Parametreler!$B$4*K83*E83</x:f>
        <x:v>0.4934736300063504</x:v>
      </x:c>
      <x:c r="O83" s="28" t="n">
        <x:f>I83+Parametreler!$B$4*K83</x:f>
        <x:v>-0.5200578763180196</x:v>
      </x:c>
    </x:row>
    <x:row r="84">
      <x:c r="A84" t="n">
        <x:f>ROW()-4</x:f>
        <x:v>80</x:v>
      </x:c>
      <x:c r="B84" t="n">
        <x:f>INT((A84-1)/Parametreler!$B$9)+1</x:f>
        <x:v>20</x:v>
      </x:c>
      <x:c r="C84" t="n">
        <x:f>MOD(A84-1,Parametreler!$B$9)+1</x:f>
        <x:v>4</x:v>
      </x:c>
      <x:c r="D84" t="n">
        <x:f>INDEX(Veri!$B$5:$B$8,C84)</x:f>
        <x:v>1</x:v>
      </x:c>
      <x:c r="E84" t="n">
        <x:f>INDEX(Veri!$C$5:$C$8,C84)</x:f>
        <x:v>1</x:v>
      </x:c>
      <x:c r="F84" t="n">
        <x:f>INDEX(Veri!$D$5:$D$8,C84)</x:f>
        <x:v>1</x:v>
      </x:c>
      <x:c r="G84" s="28" t="n">
        <x:f>M83</x:f>
        <x:v>0.47940453036289304</x:v>
      </x:c>
      <x:c r="H84" s="28" t="n">
        <x:f>N83</x:f>
        <x:v>0.4934736300063504</x:v>
      </x:c>
      <x:c r="I84" s="28" t="n">
        <x:f>O83</x:f>
        <x:v>-0.5200578763180196</x:v>
      </x:c>
      <x:c r="J84" s="30" t="n">
        <x:f>G84*D84+H84*E84+I84</x:f>
        <x:v>0.4528202840512239</x:v>
      </x:c>
      <x:c r="K84" s="30" t="n">
        <x:f>F84-J84</x:f>
        <x:v>0.5471797159487761</x:v>
      </x:c>
      <x:c r="L84" s="30" t="n">
        <x:f>K84^2</x:f>
        <x:v>0.2994056415457833</x:v>
      </x:c>
      <x:c r="M84" s="28" t="n">
        <x:f>G84+Parametreler!$B$4*K84*D84</x:f>
        <x:v>0.5067635161603319</x:v>
      </x:c>
      <x:c r="N84" s="28" t="n">
        <x:f>H84+Parametreler!$B$4*K84*E84</x:f>
        <x:v>0.5208326158037893</x:v>
      </x:c>
      <x:c r="O84" s="28" t="n">
        <x:f>I84+Parametreler!$B$4*K84</x:f>
        <x:v>-0.4926988905205808</x:v>
      </x:c>
    </x:row>
    <x:row r="85">
      <x:c r="A85" t="n">
        <x:f>ROW()-4</x:f>
        <x:v>81</x:v>
      </x:c>
      <x:c r="B85" t="n">
        <x:f>INT((A85-1)/Parametreler!$B$9)+1</x:f>
        <x:v>21</x:v>
      </x:c>
      <x:c r="C85" t="n">
        <x:f>MOD(A85-1,Parametreler!$B$9)+1</x:f>
        <x:v>1</x:v>
      </x:c>
      <x:c r="D85" t="n">
        <x:f>INDEX(Veri!$B$5:$B$8,C85)</x:f>
        <x:v>-1</x:v>
      </x:c>
      <x:c r="E85" t="n">
        <x:f>INDEX(Veri!$C$5:$C$8,C85)</x:f>
        <x:v>-1</x:v>
      </x:c>
      <x:c r="F85" t="n">
        <x:f>INDEX(Veri!$D$5:$D$8,C85)</x:f>
        <x:v>-1</x:v>
      </x:c>
      <x:c r="G85" s="28" t="n">
        <x:f>M84</x:f>
        <x:v>0.5067635161603319</x:v>
      </x:c>
      <x:c r="H85" s="28" t="n">
        <x:f>N84</x:f>
        <x:v>0.5208326158037893</x:v>
      </x:c>
      <x:c r="I85" s="28" t="n">
        <x:f>O84</x:f>
        <x:v>-0.4926988905205808</x:v>
      </x:c>
      <x:c r="J85" s="30" t="n">
        <x:f>G85*D85+H85*E85+I85</x:f>
        <x:v>-1.520295022484702</x:v>
      </x:c>
      <x:c r="K85" s="30" t="n">
        <x:f>F85-J85</x:f>
        <x:v>0.520295022484702</x:v>
      </x:c>
      <x:c r="L85" s="30" t="n">
        <x:f>K85^2</x:f>
        <x:v>0.2707069104223566</x:v>
      </x:c>
      <x:c r="M85" s="28" t="n">
        <x:f>G85+Parametreler!$B$4*K85*D85</x:f>
        <x:v>0.48074876503609676</x:v>
      </x:c>
      <x:c r="N85" s="28" t="n">
        <x:f>H85+Parametreler!$B$4*K85*E85</x:f>
        <x:v>0.49481786467955413</x:v>
      </x:c>
      <x:c r="O85" s="28" t="n">
        <x:f>I85+Parametreler!$B$4*K85</x:f>
        <x:v>-0.4666841393963457</x:v>
      </x:c>
    </x:row>
    <x:row r="86">
      <x:c r="A86" t="n">
        <x:f>ROW()-4</x:f>
        <x:v>82</x:v>
      </x:c>
      <x:c r="B86" t="n">
        <x:f>INT((A86-1)/Parametreler!$B$9)+1</x:f>
        <x:v>21</x:v>
      </x:c>
      <x:c r="C86" t="n">
        <x:f>MOD(A86-1,Parametreler!$B$9)+1</x:f>
        <x:v>2</x:v>
      </x:c>
      <x:c r="D86" t="n">
        <x:f>INDEX(Veri!$B$5:$B$8,C86)</x:f>
        <x:v>-1</x:v>
      </x:c>
      <x:c r="E86" t="n">
        <x:f>INDEX(Veri!$C$5:$C$8,C86)</x:f>
        <x:v>1</x:v>
      </x:c>
      <x:c r="F86" t="n">
        <x:f>INDEX(Veri!$D$5:$D$8,C86)</x:f>
        <x:v>-1</x:v>
      </x:c>
      <x:c r="G86" s="28" t="n">
        <x:f>M85</x:f>
        <x:v>0.48074876503609676</x:v>
      </x:c>
      <x:c r="H86" s="28" t="n">
        <x:f>N85</x:f>
        <x:v>0.49481786467955413</x:v>
      </x:c>
      <x:c r="I86" s="28" t="n">
        <x:f>O85</x:f>
        <x:v>-0.4666841393963457</x:v>
      </x:c>
      <x:c r="J86" s="30" t="n">
        <x:f>G86*D86+H86*E86+I86</x:f>
        <x:v>-0.4526150397528883</x:v>
      </x:c>
      <x:c r="K86" s="30" t="n">
        <x:f>F86-J86</x:f>
        <x:v>-0.5473849602471117</x:v>
      </x:c>
      <x:c r="L86" s="30" t="n">
        <x:f>K86^2</x:f>
        <x:v>0.29963029470473207</x:v>
      </x:c>
      <x:c r="M86" s="28" t="n">
        <x:f>G86+Parametreler!$B$4*K86*D86</x:f>
        <x:v>0.5081180130484524</x:v>
      </x:c>
      <x:c r="N86" s="28" t="n">
        <x:f>H86+Parametreler!$B$4*K86*E86</x:f>
        <x:v>0.46744861666719856</x:v>
      </x:c>
      <x:c r="O86" s="28" t="n">
        <x:f>I86+Parametreler!$B$4*K86</x:f>
        <x:v>-0.49405338740870125</x:v>
      </x:c>
    </x:row>
    <x:row r="87">
      <x:c r="A87" t="n">
        <x:f>ROW()-4</x:f>
        <x:v>83</x:v>
      </x:c>
      <x:c r="B87" t="n">
        <x:f>INT((A87-1)/Parametreler!$B$9)+1</x:f>
        <x:v>21</x:v>
      </x:c>
      <x:c r="C87" t="n">
        <x:f>MOD(A87-1,Parametreler!$B$9)+1</x:f>
        <x:v>3</x:v>
      </x:c>
      <x:c r="D87" t="n">
        <x:f>INDEX(Veri!$B$5:$B$8,C87)</x:f>
        <x:v>1</x:v>
      </x:c>
      <x:c r="E87" t="n">
        <x:f>INDEX(Veri!$C$5:$C$8,C87)</x:f>
        <x:v>-1</x:v>
      </x:c>
      <x:c r="F87" t="n">
        <x:f>INDEX(Veri!$D$5:$D$8,C87)</x:f>
        <x:v>-1</x:v>
      </x:c>
      <x:c r="G87" s="28" t="n">
        <x:f>M86</x:f>
        <x:v>0.5081180130484524</x:v>
      </x:c>
      <x:c r="H87" s="28" t="n">
        <x:f>N86</x:f>
        <x:v>0.46744861666719856</x:v>
      </x:c>
      <x:c r="I87" s="28" t="n">
        <x:f>O86</x:f>
        <x:v>-0.49405338740870125</x:v>
      </x:c>
      <x:c r="J87" s="30" t="n">
        <x:f>G87*D87+H87*E87+I87</x:f>
        <x:v>-0.4533839910274474</x:v>
      </x:c>
      <x:c r="K87" s="30" t="n">
        <x:f>F87-J87</x:f>
        <x:v>-0.5466160089725526</x:v>
      </x:c>
      <x:c r="L87" s="30" t="n">
        <x:f>K87^2</x:f>
        <x:v>0.2987890612650817</x:v>
      </x:c>
      <x:c r="M87" s="28" t="n">
        <x:f>G87+Parametreler!$B$4*K87*D87</x:f>
        <x:v>0.48078721259982476</x:v>
      </x:c>
      <x:c r="N87" s="28" t="n">
        <x:f>H87+Parametreler!$B$4*K87*E87</x:f>
        <x:v>0.4947794171158262</x:v>
      </x:c>
      <x:c r="O87" s="28" t="n">
        <x:f>I87+Parametreler!$B$4*K87</x:f>
        <x:v>-0.5213841878573289</x:v>
      </x:c>
    </x:row>
    <x:row r="88">
      <x:c r="A88" t="n">
        <x:f>ROW()-4</x:f>
        <x:v>84</x:v>
      </x:c>
      <x:c r="B88" t="n">
        <x:f>INT((A88-1)/Parametreler!$B$9)+1</x:f>
        <x:v>21</x:v>
      </x:c>
      <x:c r="C88" t="n">
        <x:f>MOD(A88-1,Parametreler!$B$9)+1</x:f>
        <x:v>4</x:v>
      </x:c>
      <x:c r="D88" t="n">
        <x:f>INDEX(Veri!$B$5:$B$8,C88)</x:f>
        <x:v>1</x:v>
      </x:c>
      <x:c r="E88" t="n">
        <x:f>INDEX(Veri!$C$5:$C$8,C88)</x:f>
        <x:v>1</x:v>
      </x:c>
      <x:c r="F88" t="n">
        <x:f>INDEX(Veri!$D$5:$D$8,C88)</x:f>
        <x:v>1</x:v>
      </x:c>
      <x:c r="G88" s="28" t="n">
        <x:f>M87</x:f>
        <x:v>0.48078721259982476</x:v>
      </x:c>
      <x:c r="H88" s="28" t="n">
        <x:f>N87</x:f>
        <x:v>0.4947794171158262</x:v>
      </x:c>
      <x:c r="I88" s="28" t="n">
        <x:f>O87</x:f>
        <x:v>-0.5213841878573289</x:v>
      </x:c>
      <x:c r="J88" s="30" t="n">
        <x:f>G88*D88+H88*E88+I88</x:f>
        <x:v>0.454182441858322</x:v>
      </x:c>
      <x:c r="K88" s="30" t="n">
        <x:f>F88-J88</x:f>
        <x:v>0.545817558141678</x:v>
      </x:c>
      <x:c r="L88" s="30" t="n">
        <x:f>K88^2</x:f>
        <x:v>0.297916806775744</x:v>
      </x:c>
      <x:c r="M88" s="28" t="n">
        <x:f>G88+Parametreler!$B$4*K88*D88</x:f>
        <x:v>0.5080780905069087</x:v>
      </x:c>
      <x:c r="N88" s="28" t="n">
        <x:f>H88+Parametreler!$B$4*K88*E88</x:f>
        <x:v>0.5220702950229101</x:v>
      </x:c>
      <x:c r="O88" s="28" t="n">
        <x:f>I88+Parametreler!$B$4*K88</x:f>
        <x:v>-0.494093309950245</x:v>
      </x:c>
    </x:row>
    <x:row r="89">
      <x:c r="A89" t="n">
        <x:f>ROW()-4</x:f>
        <x:v>85</x:v>
      </x:c>
      <x:c r="B89" t="n">
        <x:f>INT((A89-1)/Parametreler!$B$9)+1</x:f>
        <x:v>22</x:v>
      </x:c>
      <x:c r="C89" t="n">
        <x:f>MOD(A89-1,Parametreler!$B$9)+1</x:f>
        <x:v>1</x:v>
      </x:c>
      <x:c r="D89" t="n">
        <x:f>INDEX(Veri!$B$5:$B$8,C89)</x:f>
        <x:v>-1</x:v>
      </x:c>
      <x:c r="E89" t="n">
        <x:f>INDEX(Veri!$C$5:$C$8,C89)</x:f>
        <x:v>-1</x:v>
      </x:c>
      <x:c r="F89" t="n">
        <x:f>INDEX(Veri!$D$5:$D$8,C89)</x:f>
        <x:v>-1</x:v>
      </x:c>
      <x:c r="G89" s="28" t="n">
        <x:f>M88</x:f>
        <x:v>0.5080780905069087</x:v>
      </x:c>
      <x:c r="H89" s="28" t="n">
        <x:f>N88</x:f>
        <x:v>0.5220702950229101</x:v>
      </x:c>
      <x:c r="I89" s="28" t="n">
        <x:f>O88</x:f>
        <x:v>-0.494093309950245</x:v>
      </x:c>
      <x:c r="J89" s="30" t="n">
        <x:f>G89*D89+H89*E89+I89</x:f>
        <x:v>-1.5242416954800637</x:v>
      </x:c>
      <x:c r="K89" s="30" t="n">
        <x:f>F89-J89</x:f>
        <x:v>0.5242416954800637</x:v>
      </x:c>
      <x:c r="L89" s="30" t="n">
        <x:f>K89^2</x:f>
        <x:v>0.27482935527981184</x:v>
      </x:c>
      <x:c r="M89" s="28" t="n">
        <x:f>G89+Parametreler!$B$4*K89*D89</x:f>
        <x:v>0.4818660057329055</x:v>
      </x:c>
      <x:c r="N89" s="28" t="n">
        <x:f>H89+Parametreler!$B$4*K89*E89</x:f>
        <x:v>0.49585821024890697</x:v>
      </x:c>
      <x:c r="O89" s="28" t="n">
        <x:f>I89+Parametreler!$B$4*K89</x:f>
        <x:v>-0.4678812251762418</x:v>
      </x:c>
    </x:row>
    <x:row r="90">
      <x:c r="A90" t="n">
        <x:f>ROW()-4</x:f>
        <x:v>86</x:v>
      </x:c>
      <x:c r="B90" t="n">
        <x:f>INT((A90-1)/Parametreler!$B$9)+1</x:f>
        <x:v>22</x:v>
      </x:c>
      <x:c r="C90" t="n">
        <x:f>MOD(A90-1,Parametreler!$B$9)+1</x:f>
        <x:v>2</x:v>
      </x:c>
      <x:c r="D90" t="n">
        <x:f>INDEX(Veri!$B$5:$B$8,C90)</x:f>
        <x:v>-1</x:v>
      </x:c>
      <x:c r="E90" t="n">
        <x:f>INDEX(Veri!$C$5:$C$8,C90)</x:f>
        <x:v>1</x:v>
      </x:c>
      <x:c r="F90" t="n">
        <x:f>INDEX(Veri!$D$5:$D$8,C90)</x:f>
        <x:v>-1</x:v>
      </x:c>
      <x:c r="G90" s="28" t="n">
        <x:f>M89</x:f>
        <x:v>0.4818660057329055</x:v>
      </x:c>
      <x:c r="H90" s="28" t="n">
        <x:f>N89</x:f>
        <x:v>0.49585821024890697</x:v>
      </x:c>
      <x:c r="I90" s="28" t="n">
        <x:f>O89</x:f>
        <x:v>-0.4678812251762418</x:v>
      </x:c>
      <x:c r="J90" s="30" t="n">
        <x:f>G90*D90+H90*E90+I90</x:f>
        <x:v>-0.45388902066024034</x:v>
      </x:c>
      <x:c r="K90" s="30" t="n">
        <x:f>F90-J90</x:f>
        <x:v>-0.5461109793397596</x:v>
      </x:c>
      <x:c r="L90" s="30" t="n">
        <x:f>K90^2</x:f>
        <x:v>0.29823720175543134</x:v>
      </x:c>
      <x:c r="M90" s="28" t="n">
        <x:f>G90+Parametreler!$B$4*K90*D90</x:f>
        <x:v>0.5091715546998935</x:v>
      </x:c>
      <x:c r="N90" s="28" t="n">
        <x:f>H90+Parametreler!$B$4*K90*E90</x:f>
        <x:v>0.46855266128191897</x:v>
      </x:c>
      <x:c r="O90" s="28" t="n">
        <x:f>I90+Parametreler!$B$4*K90</x:f>
        <x:v>-0.4951867741432298</x:v>
      </x:c>
    </x:row>
    <x:row r="91">
      <x:c r="A91" t="n">
        <x:f>ROW()-4</x:f>
        <x:v>87</x:v>
      </x:c>
      <x:c r="B91" t="n">
        <x:f>INT((A91-1)/Parametreler!$B$9)+1</x:f>
        <x:v>22</x:v>
      </x:c>
      <x:c r="C91" t="n">
        <x:f>MOD(A91-1,Parametreler!$B$9)+1</x:f>
        <x:v>3</x:v>
      </x:c>
      <x:c r="D91" t="n">
        <x:f>INDEX(Veri!$B$5:$B$8,C91)</x:f>
        <x:v>1</x:v>
      </x:c>
      <x:c r="E91" t="n">
        <x:f>INDEX(Veri!$C$5:$C$8,C91)</x:f>
        <x:v>-1</x:v>
      </x:c>
      <x:c r="F91" t="n">
        <x:f>INDEX(Veri!$D$5:$D$8,C91)</x:f>
        <x:v>-1</x:v>
      </x:c>
      <x:c r="G91" s="28" t="n">
        <x:f>M90</x:f>
        <x:v>0.5091715546998935</x:v>
      </x:c>
      <x:c r="H91" s="28" t="n">
        <x:f>N90</x:f>
        <x:v>0.46855266128191897</x:v>
      </x:c>
      <x:c r="I91" s="28" t="n">
        <x:f>O90</x:f>
        <x:v>-0.4951867741432298</x:v>
      </x:c>
      <x:c r="J91" s="30" t="n">
        <x:f>G91*D91+H91*E91+I91</x:f>
        <x:v>-0.4545678807252553</x:v>
      </x:c>
      <x:c r="K91" s="30" t="n">
        <x:f>F91-J91</x:f>
        <x:v>-0.5454321192747447</x:v>
      </x:c>
      <x:c r="L91" s="30" t="n">
        <x:f>K91^2</x:f>
        <x:v>0.29749619673653926</x:v>
      </x:c>
      <x:c r="M91" s="28" t="n">
        <x:f>G91+Parametreler!$B$4*K91*D91</x:f>
        <x:v>0.48189994873615627</x:v>
      </x:c>
      <x:c r="N91" s="28" t="n">
        <x:f>H91+Parametreler!$B$4*K91*E91</x:f>
        <x:v>0.4958242672456562</x:v>
      </x:c>
      <x:c r="O91" s="28" t="n">
        <x:f>I91+Parametreler!$B$4*K91</x:f>
        <x:v>-0.5224583801069671</x:v>
      </x:c>
    </x:row>
    <x:row r="92">
      <x:c r="A92" t="n">
        <x:f>ROW()-4</x:f>
        <x:v>88</x:v>
      </x:c>
      <x:c r="B92" t="n">
        <x:f>INT((A92-1)/Parametreler!$B$9)+1</x:f>
        <x:v>22</x:v>
      </x:c>
      <x:c r="C92" t="n">
        <x:f>MOD(A92-1,Parametreler!$B$9)+1</x:f>
        <x:v>4</x:v>
      </x:c>
      <x:c r="D92" t="n">
        <x:f>INDEX(Veri!$B$5:$B$8,C92)</x:f>
        <x:v>1</x:v>
      </x:c>
      <x:c r="E92" t="n">
        <x:f>INDEX(Veri!$C$5:$C$8,C92)</x:f>
        <x:v>1</x:v>
      </x:c>
      <x:c r="F92" t="n">
        <x:f>INDEX(Veri!$D$5:$D$8,C92)</x:f>
        <x:v>1</x:v>
      </x:c>
      <x:c r="G92" s="28" t="n">
        <x:f>M91</x:f>
        <x:v>0.48189994873615627</x:v>
      </x:c>
      <x:c r="H92" s="28" t="n">
        <x:f>N91</x:f>
        <x:v>0.4958242672456562</x:v>
      </x:c>
      <x:c r="I92" s="28" t="n">
        <x:f>O91</x:f>
        <x:v>-0.5224583801069671</x:v>
      </x:c>
      <x:c r="J92" s="30" t="n">
        <x:f>G92*D92+H92*E92+I92</x:f>
        <x:v>0.45526583587484537</x:v>
      </x:c>
      <x:c r="K92" s="30" t="n">
        <x:f>F92-J92</x:f>
        <x:v>0.5447341641251546</x:v>
      </x:c>
      <x:c r="L92" s="30" t="n">
        <x:f>K92^2</x:f>
        <x:v>0.2967353095651309</x:v>
      </x:c>
      <x:c r="M92" s="28" t="n">
        <x:f>G92+Parametreler!$B$4*K92*D92</x:f>
        <x:v>0.5091366569424141</x:v>
      </x:c>
      <x:c r="N92" s="28" t="n">
        <x:f>H92+Parametreler!$B$4*K92*E92</x:f>
        <x:v>0.523060975451914</x:v>
      </x:c>
      <x:c r="O92" s="28" t="n">
        <x:f>I92+Parametreler!$B$4*K92</x:f>
        <x:v>-0.49522167190070937</x:v>
      </x:c>
    </x:row>
    <x:row r="93">
      <x:c r="A93" t="n">
        <x:f>ROW()-4</x:f>
        <x:v>89</x:v>
      </x:c>
      <x:c r="B93" t="n">
        <x:f>INT((A93-1)/Parametreler!$B$9)+1</x:f>
        <x:v>23</x:v>
      </x:c>
      <x:c r="C93" t="n">
        <x:f>MOD(A93-1,Parametreler!$B$9)+1</x:f>
        <x:v>1</x:v>
      </x:c>
      <x:c r="D93" t="n">
        <x:f>INDEX(Veri!$B$5:$B$8,C93)</x:f>
        <x:v>-1</x:v>
      </x:c>
      <x:c r="E93" t="n">
        <x:f>INDEX(Veri!$C$5:$C$8,C93)</x:f>
        <x:v>-1</x:v>
      </x:c>
      <x:c r="F93" t="n">
        <x:f>INDEX(Veri!$D$5:$D$8,C93)</x:f>
        <x:v>-1</x:v>
      </x:c>
      <x:c r="G93" s="28" t="n">
        <x:f>M92</x:f>
        <x:v>0.5091366569424141</x:v>
      </x:c>
      <x:c r="H93" s="28" t="n">
        <x:f>N92</x:f>
        <x:v>0.523060975451914</x:v>
      </x:c>
      <x:c r="I93" s="28" t="n">
        <x:f>O92</x:f>
        <x:v>-0.49522167190070937</x:v>
      </x:c>
      <x:c r="J93" s="30" t="n">
        <x:f>G93*D93+H93*E93+I93</x:f>
        <x:v>-1.5274193042950375</x:v>
      </x:c>
      <x:c r="K93" s="30" t="n">
        <x:f>F93-J93</x:f>
        <x:v>0.5274193042950375</x:v>
      </x:c>
      <x:c r="L93" s="30" t="n">
        <x:f>K93^2</x:f>
        <x:v>0.2781711225430613</x:v>
      </x:c>
      <x:c r="M93" s="28" t="n">
        <x:f>G93+Parametreler!$B$4*K93*D93</x:f>
        <x:v>0.4827656917276622</x:v>
      </x:c>
      <x:c r="N93" s="28" t="n">
        <x:f>H93+Parametreler!$B$4*K93*E93</x:f>
        <x:v>0.49669001023716214</x:v>
      </x:c>
      <x:c r="O93" s="28" t="n">
        <x:f>I93+Parametreler!$B$4*K93</x:f>
        <x:v>-0.4688507066859575</x:v>
      </x:c>
    </x:row>
    <x:row r="94">
      <x:c r="A94" t="n">
        <x:f>ROW()-4</x:f>
        <x:v>90</x:v>
      </x:c>
      <x:c r="B94" t="n">
        <x:f>INT((A94-1)/Parametreler!$B$9)+1</x:f>
        <x:v>23</x:v>
      </x:c>
      <x:c r="C94" t="n">
        <x:f>MOD(A94-1,Parametreler!$B$9)+1</x:f>
        <x:v>2</x:v>
      </x:c>
      <x:c r="D94" t="n">
        <x:f>INDEX(Veri!$B$5:$B$8,C94)</x:f>
        <x:v>-1</x:v>
      </x:c>
      <x:c r="E94" t="n">
        <x:f>INDEX(Veri!$C$5:$C$8,C94)</x:f>
        <x:v>1</x:v>
      </x:c>
      <x:c r="F94" t="n">
        <x:f>INDEX(Veri!$D$5:$D$8,C94)</x:f>
        <x:v>-1</x:v>
      </x:c>
      <x:c r="G94" s="28" t="n">
        <x:f>M93</x:f>
        <x:v>0.4827656917276622</x:v>
      </x:c>
      <x:c r="H94" s="28" t="n">
        <x:f>N93</x:f>
        <x:v>0.49669001023716214</x:v>
      </x:c>
      <x:c r="I94" s="28" t="n">
        <x:f>O93</x:f>
        <x:v>-0.4688507066859575</x:v>
      </x:c>
      <x:c r="J94" s="30" t="n">
        <x:f>G94*D94+H94*E94+I94</x:f>
        <x:v>-0.4549263881764576</x:v>
      </x:c>
      <x:c r="K94" s="30" t="n">
        <x:f>F94-J94</x:f>
        <x:v>-0.5450736118235424</x:v>
      </x:c>
      <x:c r="L94" s="30" t="n">
        <x:f>K94^2</x:f>
        <x:v>0.2971052423063618</x:v>
      </x:c>
      <x:c r="M94" s="28" t="n">
        <x:f>G94+Parametreler!$B$4*K94*D94</x:f>
        <x:v>0.5100193723188393</x:v>
      </x:c>
      <x:c r="N94" s="28" t="n">
        <x:f>H94+Parametreler!$B$4*K94*E94</x:f>
        <x:v>0.46943632964598503</x:v>
      </x:c>
      <x:c r="O94" s="28" t="n">
        <x:f>I94+Parametreler!$B$4*K94</x:f>
        <x:v>-0.49610438727713463</x:v>
      </x:c>
    </x:row>
    <x:row r="95">
      <x:c r="A95" t="n">
        <x:f>ROW()-4</x:f>
        <x:v>91</x:v>
      </x:c>
      <x:c r="B95" t="n">
        <x:f>INT((A95-1)/Parametreler!$B$9)+1</x:f>
        <x:v>23</x:v>
      </x:c>
      <x:c r="C95" t="n">
        <x:f>MOD(A95-1,Parametreler!$B$9)+1</x:f>
        <x:v>3</x:v>
      </x:c>
      <x:c r="D95" t="n">
        <x:f>INDEX(Veri!$B$5:$B$8,C95)</x:f>
        <x:v>1</x:v>
      </x:c>
      <x:c r="E95" t="n">
        <x:f>INDEX(Veri!$C$5:$C$8,C95)</x:f>
        <x:v>-1</x:v>
      </x:c>
      <x:c r="F95" t="n">
        <x:f>INDEX(Veri!$D$5:$D$8,C95)</x:f>
        <x:v>-1</x:v>
      </x:c>
      <x:c r="G95" s="28" t="n">
        <x:f>M94</x:f>
        <x:v>0.5100193723188393</x:v>
      </x:c>
      <x:c r="H95" s="28" t="n">
        <x:f>N94</x:f>
        <x:v>0.46943632964598503</x:v>
      </x:c>
      <x:c r="I95" s="28" t="n">
        <x:f>O94</x:f>
        <x:v>-0.49610438727713463</x:v>
      </x:c>
      <x:c r="J95" s="30" t="n">
        <x:f>G95*D95+H95*E95+I95</x:f>
        <x:v>-0.45552134460428034</x:v>
      </x:c>
      <x:c r="K95" s="30" t="n">
        <x:f>F95-J95</x:f>
        <x:v>-0.5444786553957197</x:v>
      </x:c>
      <x:c r="L95" s="30" t="n">
        <x:f>K95^2</x:f>
        <x:v>0.2964570061815309</x:v>
      </x:c>
      <x:c r="M95" s="28" t="n">
        <x:f>G95+Parametreler!$B$4*K95*D95</x:f>
        <x:v>0.48279543954905335</x:v>
      </x:c>
      <x:c r="N95" s="28" t="n">
        <x:f>H95+Parametreler!$B$4*K95*E95</x:f>
        <x:v>0.496660262415771</x:v>
      </x:c>
      <x:c r="O95" s="28" t="n">
        <x:f>I95+Parametreler!$B$4*K95</x:f>
        <x:v>-0.5233283200469206</x:v>
      </x:c>
    </x:row>
    <x:row r="96">
      <x:c r="A96" t="n">
        <x:f>ROW()-4</x:f>
        <x:v>92</x:v>
      </x:c>
      <x:c r="B96" t="n">
        <x:f>INT((A96-1)/Parametreler!$B$9)+1</x:f>
        <x:v>23</x:v>
      </x:c>
      <x:c r="C96" t="n">
        <x:f>MOD(A96-1,Parametreler!$B$9)+1</x:f>
        <x:v>4</x:v>
      </x:c>
      <x:c r="D96" t="n">
        <x:f>INDEX(Veri!$B$5:$B$8,C96)</x:f>
        <x:v>1</x:v>
      </x:c>
      <x:c r="E96" t="n">
        <x:f>INDEX(Veri!$C$5:$C$8,C96)</x:f>
        <x:v>1</x:v>
      </x:c>
      <x:c r="F96" t="n">
        <x:f>INDEX(Veri!$D$5:$D$8,C96)</x:f>
        <x:v>1</x:v>
      </x:c>
      <x:c r="G96" s="28" t="n">
        <x:f>M95</x:f>
        <x:v>0.48279543954905335</x:v>
      </x:c>
      <x:c r="H96" s="28" t="n">
        <x:f>N95</x:f>
        <x:v>0.496660262415771</x:v>
      </x:c>
      <x:c r="I96" s="28" t="n">
        <x:f>O95</x:f>
        <x:v>-0.5233283200469206</x:v>
      </x:c>
      <x:c r="J96" s="30" t="n">
        <x:f>G96*D96+H96*E96+I96</x:f>
        <x:v>0.4561273819179037</x:v>
      </x:c>
      <x:c r="K96" s="30" t="n">
        <x:f>F96-J96</x:f>
        <x:v>0.5438726180820963</x:v>
      </x:c>
      <x:c r="L96" s="30" t="n">
        <x:f>K96^2</x:f>
        <x:v>0.2957974246994738</x:v>
      </x:c>
      <x:c r="M96" s="28" t="n">
        <x:f>G96+Parametreler!$B$4*K96*D96</x:f>
        <x:v>0.5099890704531582</x:v>
      </x:c>
      <x:c r="N96" s="28" t="n">
        <x:f>H96+Parametreler!$B$4*K96*E96</x:f>
        <x:v>0.5238538933198758</x:v>
      </x:c>
      <x:c r="O96" s="28" t="n">
        <x:f>I96+Parametreler!$B$4*K96</x:f>
        <x:v>-0.49613468914281583</x:v>
      </x:c>
    </x:row>
    <x:row r="97">
      <x:c r="A97" t="n">
        <x:f>ROW()-4</x:f>
        <x:v>93</x:v>
      </x:c>
      <x:c r="B97" t="n">
        <x:f>INT((A97-1)/Parametreler!$B$9)+1</x:f>
        <x:v>24</x:v>
      </x:c>
      <x:c r="C97" t="n">
        <x:f>MOD(A97-1,Parametreler!$B$9)+1</x:f>
        <x:v>1</x:v>
      </x:c>
      <x:c r="D97" t="n">
        <x:f>INDEX(Veri!$B$5:$B$8,C97)</x:f>
        <x:v>-1</x:v>
      </x:c>
      <x:c r="E97" t="n">
        <x:f>INDEX(Veri!$C$5:$C$8,C97)</x:f>
        <x:v>-1</x:v>
      </x:c>
      <x:c r="F97" t="n">
        <x:f>INDEX(Veri!$D$5:$D$8,C97)</x:f>
        <x:v>-1</x:v>
      </x:c>
      <x:c r="G97" s="28" t="n">
        <x:f>M96</x:f>
        <x:v>0.5099890704531582</x:v>
      </x:c>
      <x:c r="H97" s="28" t="n">
        <x:f>N96</x:f>
        <x:v>0.5238538933198758</x:v>
      </x:c>
      <x:c r="I97" s="28" t="n">
        <x:f>O96</x:f>
        <x:v>-0.49613468914281583</x:v>
      </x:c>
      <x:c r="J97" s="30" t="n">
        <x:f>G97*D97+H97*E97+I97</x:f>
        <x:v>-1.5299776529158498</x:v>
      </x:c>
      <x:c r="K97" s="30" t="n">
        <x:f>F97-J97</x:f>
        <x:v>0.5299776529158498</x:v>
      </x:c>
      <x:c r="L97" s="30" t="n">
        <x:f>K97^2</x:f>
        <x:v>0.2808763125901929</x:v>
      </x:c>
      <x:c r="M97" s="28" t="n">
        <x:f>G97+Parametreler!$B$4*K97*D97</x:f>
        <x:v>0.48349018780736575</x:v>
      </x:c>
      <x:c r="N97" s="28" t="n">
        <x:f>H97+Parametreler!$B$4*K97*E97</x:f>
        <x:v>0.4973550106740833</x:v>
      </x:c>
      <x:c r="O97" s="28" t="n">
        <x:f>I97+Parametreler!$B$4*K97</x:f>
        <x:v>-0.46963580649702336</x:v>
      </x:c>
    </x:row>
    <x:row r="98">
      <x:c r="A98" t="n">
        <x:f>ROW()-4</x:f>
        <x:v>94</x:v>
      </x:c>
      <x:c r="B98" t="n">
        <x:f>INT((A98-1)/Parametreler!$B$9)+1</x:f>
        <x:v>24</x:v>
      </x:c>
      <x:c r="C98" t="n">
        <x:f>MOD(A98-1,Parametreler!$B$9)+1</x:f>
        <x:v>2</x:v>
      </x:c>
      <x:c r="D98" t="n">
        <x:f>INDEX(Veri!$B$5:$B$8,C98)</x:f>
        <x:v>-1</x:v>
      </x:c>
      <x:c r="E98" t="n">
        <x:f>INDEX(Veri!$C$5:$C$8,C98)</x:f>
        <x:v>1</x:v>
      </x:c>
      <x:c r="F98" t="n">
        <x:f>INDEX(Veri!$D$5:$D$8,C98)</x:f>
        <x:v>-1</x:v>
      </x:c>
      <x:c r="G98" s="28" t="n">
        <x:f>M97</x:f>
        <x:v>0.48349018780736575</x:v>
      </x:c>
      <x:c r="H98" s="28" t="n">
        <x:f>N97</x:f>
        <x:v>0.4973550106740833</x:v>
      </x:c>
      <x:c r="I98" s="28" t="n">
        <x:f>O97</x:f>
        <x:v>-0.46963580649702336</x:v>
      </x:c>
      <x:c r="J98" s="30" t="n">
        <x:f>G98*D98+H98*E98+I98</x:f>
        <x:v>-0.4557709836303058</x:v>
      </x:c>
      <x:c r="K98" s="30" t="n">
        <x:f>F98-J98</x:f>
        <x:v>-0.5442290163696941</x:v>
      </x:c>
      <x:c r="L98" s="30" t="n">
        <x:f>K98^2</x:f>
        <x:v>0.2961852222587248</x:v>
      </x:c>
      <x:c r="M98" s="28" t="n">
        <x:f>G98+Parametreler!$B$4*K98*D98</x:f>
        <x:v>0.5107016386258505</x:v>
      </x:c>
      <x:c r="N98" s="28" t="n">
        <x:f>H98+Parametreler!$B$4*K98*E98</x:f>
        <x:v>0.4701435598555986</x:v>
      </x:c>
      <x:c r="O98" s="28" t="n">
        <x:f>I98+Parametreler!$B$4*K98</x:f>
        <x:v>-0.49684725731550805</x:v>
      </x:c>
    </x:row>
    <x:row r="99">
      <x:c r="A99" t="n">
        <x:f>ROW()-4</x:f>
        <x:v>95</x:v>
      </x:c>
      <x:c r="B99" t="n">
        <x:f>INT((A99-1)/Parametreler!$B$9)+1</x:f>
        <x:v>24</x:v>
      </x:c>
      <x:c r="C99" t="n">
        <x:f>MOD(A99-1,Parametreler!$B$9)+1</x:f>
        <x:v>3</x:v>
      </x:c>
      <x:c r="D99" t="n">
        <x:f>INDEX(Veri!$B$5:$B$8,C99)</x:f>
        <x:v>1</x:v>
      </x:c>
      <x:c r="E99" t="n">
        <x:f>INDEX(Veri!$C$5:$C$8,C99)</x:f>
        <x:v>-1</x:v>
      </x:c>
      <x:c r="F99" t="n">
        <x:f>INDEX(Veri!$D$5:$D$8,C99)</x:f>
        <x:v>-1</x:v>
      </x:c>
      <x:c r="G99" s="28" t="n">
        <x:f>M98</x:f>
        <x:v>0.5107016386258505</x:v>
      </x:c>
      <x:c r="H99" s="28" t="n">
        <x:f>N98</x:f>
        <x:v>0.4701435598555986</x:v>
      </x:c>
      <x:c r="I99" s="28" t="n">
        <x:f>O98</x:f>
        <x:v>-0.49684725731550805</x:v>
      </x:c>
      <x:c r="J99" s="30" t="n">
        <x:f>G99*D99+H99*E99+I99</x:f>
        <x:v>-0.45628917854525614</x:v>
      </x:c>
      <x:c r="K99" s="30" t="n">
        <x:f>F99-J99</x:f>
        <x:v>-0.5437108214547439</x:v>
      </x:c>
      <x:c r="L99" s="30" t="n">
        <x:f>K99^2</x:f>
        <x:v>0.2956214573669924</x:v>
      </x:c>
      <x:c r="M99" s="28" t="n">
        <x:f>G99+Parametreler!$B$4*K99*D99</x:f>
        <x:v>0.4835160975531133</x:v>
      </x:c>
      <x:c r="N99" s="28" t="n">
        <x:f>H99+Parametreler!$B$4*K99*E99</x:f>
        <x:v>0.49732910092833577</x:v>
      </x:c>
      <x:c r="O99" s="28" t="n">
        <x:f>I99+Parametreler!$B$4*K99</x:f>
        <x:v>-0.5240327983882452</x:v>
      </x:c>
    </x:row>
    <x:row r="100">
      <x:c r="A100" t="n">
        <x:f>ROW()-4</x:f>
        <x:v>96</x:v>
      </x:c>
      <x:c r="B100" t="n">
        <x:f>INT((A100-1)/Parametreler!$B$9)+1</x:f>
        <x:v>24</x:v>
      </x:c>
      <x:c r="C100" t="n">
        <x:f>MOD(A100-1,Parametreler!$B$9)+1</x:f>
        <x:v>4</x:v>
      </x:c>
      <x:c r="D100" t="n">
        <x:f>INDEX(Veri!$B$5:$B$8,C100)</x:f>
        <x:v>1</x:v>
      </x:c>
      <x:c r="E100" t="n">
        <x:f>INDEX(Veri!$C$5:$C$8,C100)</x:f>
        <x:v>1</x:v>
      </x:c>
      <x:c r="F100" t="n">
        <x:f>INDEX(Veri!$D$5:$D$8,C100)</x:f>
        <x:v>1</x:v>
      </x:c>
      <x:c r="G100" s="28" t="n">
        <x:f>M99</x:f>
        <x:v>0.4835160975531133</x:v>
      </x:c>
      <x:c r="H100" s="28" t="n">
        <x:f>N99</x:f>
        <x:v>0.49732910092833577</x:v>
      </x:c>
      <x:c r="I100" s="28" t="n">
        <x:f>O99</x:f>
        <x:v>-0.5240327983882452</x:v>
      </x:c>
      <x:c r="J100" s="30" t="n">
        <x:f>G100*D100+H100*E100+I100</x:f>
        <x:v>0.4568124000932038</x:v>
      </x:c>
      <x:c r="K100" s="30" t="n">
        <x:f>F100-J100</x:f>
        <x:v>0.5431875999067962</x:v>
      </x:c>
      <x:c r="L100" s="30" t="n">
        <x:f>K100^2</x:f>
        <x:v>0.29505276869250574</x:v>
      </x:c>
      <x:c r="M100" s="28" t="n">
        <x:f>G100+Parametreler!$B$4*K100*D100</x:f>
        <x:v>0.5106754775484531</x:v>
      </x:c>
      <x:c r="N100" s="28" t="n">
        <x:f>H100+Parametreler!$B$4*K100*E100</x:f>
        <x:v>0.5244884809236756</x:v>
      </x:c>
      <x:c r="O100" s="28" t="n">
        <x:f>I100+Parametreler!$B$4*K100</x:f>
        <x:v>-0.49687341839290544</x:v>
      </x:c>
    </x:row>
    <x:row r="101">
      <x:c r="A101" t="n">
        <x:f>ROW()-4</x:f>
        <x:v>97</x:v>
      </x:c>
      <x:c r="B101" t="n">
        <x:f>INT((A101-1)/Parametreler!$B$9)+1</x:f>
        <x:v>25</x:v>
      </x:c>
      <x:c r="C101" t="n">
        <x:f>MOD(A101-1,Parametreler!$B$9)+1</x:f>
        <x:v>1</x:v>
      </x:c>
      <x:c r="D101" t="n">
        <x:f>INDEX(Veri!$B$5:$B$8,C101)</x:f>
        <x:v>-1</x:v>
      </x:c>
      <x:c r="E101" t="n">
        <x:f>INDEX(Veri!$C$5:$C$8,C101)</x:f>
        <x:v>-1</x:v>
      </x:c>
      <x:c r="F101" t="n">
        <x:f>INDEX(Veri!$D$5:$D$8,C101)</x:f>
        <x:v>-1</x:v>
      </x:c>
      <x:c r="G101" s="28" t="n">
        <x:f>M100</x:f>
        <x:v>0.5106754775484531</x:v>
      </x:c>
      <x:c r="H101" s="28" t="n">
        <x:f>N100</x:f>
        <x:v>0.5244884809236756</x:v>
      </x:c>
      <x:c r="I101" s="28" t="n">
        <x:f>O100</x:f>
        <x:v>-0.49687341839290544</x:v>
      </x:c>
      <x:c r="J101" s="30" t="n">
        <x:f>G101*D101+H101*E101+I101</x:f>
        <x:v>-1.5320373768650342</x:v>
      </x:c>
      <x:c r="K101" s="30" t="n">
        <x:f>F101-J101</x:f>
        <x:v>0.5320373768650342</x:v>
      </x:c>
      <x:c r="L101" s="30" t="n">
        <x:f>K101^2</x:f>
        <x:v>0.2830637703814264</x:v>
      </x:c>
      <x:c r="M101" s="28" t="n">
        <x:f>G101+Parametreler!$B$4*K101*D101</x:f>
        <x:v>0.4840736087052014</x:v>
      </x:c>
      <x:c r="N101" s="28" t="n">
        <x:f>H101+Parametreler!$B$4*K101*E101</x:f>
        <x:v>0.4978866120804239</x:v>
      </x:c>
      <x:c r="O101" s="28" t="n">
        <x:f>I101+Parametreler!$B$4*K101</x:f>
        <x:v>-0.4702715495496537</x:v>
      </x:c>
    </x:row>
    <x:row r="102">
      <x:c r="A102" t="n">
        <x:f>ROW()-4</x:f>
        <x:v>98</x:v>
      </x:c>
      <x:c r="B102" t="n">
        <x:f>INT((A102-1)/Parametreler!$B$9)+1</x:f>
        <x:v>25</x:v>
      </x:c>
      <x:c r="C102" t="n">
        <x:f>MOD(A102-1,Parametreler!$B$9)+1</x:f>
        <x:v>2</x:v>
      </x:c>
      <x:c r="D102" t="n">
        <x:f>INDEX(Veri!$B$5:$B$8,C102)</x:f>
        <x:v>-1</x:v>
      </x:c>
      <x:c r="E102" t="n">
        <x:f>INDEX(Veri!$C$5:$C$8,C102)</x:f>
        <x:v>1</x:v>
      </x:c>
      <x:c r="F102" t="n">
        <x:f>INDEX(Veri!$D$5:$D$8,C102)</x:f>
        <x:v>-1</x:v>
      </x:c>
      <x:c r="G102" s="28" t="n">
        <x:f>M101</x:f>
        <x:v>0.4840736087052014</x:v>
      </x:c>
      <x:c r="H102" s="28" t="n">
        <x:f>N101</x:f>
        <x:v>0.4978866120804239</x:v>
      </x:c>
      <x:c r="I102" s="28" t="n">
        <x:f>O101</x:f>
        <x:v>-0.4702715495496537</x:v>
      </x:c>
      <x:c r="J102" s="30" t="n">
        <x:f>G102*D102+H102*E102+I102</x:f>
        <x:v>-0.4564585461744312</x:v>
      </x:c>
      <x:c r="K102" s="30" t="n">
        <x:f>F102-J102</x:f>
        <x:v>-0.5435414538255687</x:v>
      </x:c>
      <x:c r="L102" s="30" t="n">
        <x:f>K102^2</x:f>
        <x:v>0.2954373120268129</x:v>
      </x:c>
      <x:c r="M102" s="28" t="n">
        <x:f>G102+Parametreler!$B$4*K102*D102</x:f>
        <x:v>0.5112506813964798</x:v>
      </x:c>
      <x:c r="N102" s="28" t="n">
        <x:f>H102+Parametreler!$B$4*K102*E102</x:f>
        <x:v>0.47070953938914545</x:v>
      </x:c>
      <x:c r="O102" s="28" t="n">
        <x:f>I102+Parametreler!$B$4*K102</x:f>
        <x:v>-0.49744862224093217</x:v>
      </x:c>
    </x:row>
    <x:row r="103">
      <x:c r="A103" t="n">
        <x:f>ROW()-4</x:f>
        <x:v>99</x:v>
      </x:c>
      <x:c r="B103" t="n">
        <x:f>INT((A103-1)/Parametreler!$B$9)+1</x:f>
        <x:v>25</x:v>
      </x:c>
      <x:c r="C103" t="n">
        <x:f>MOD(A103-1,Parametreler!$B$9)+1</x:f>
        <x:v>3</x:v>
      </x:c>
      <x:c r="D103" t="n">
        <x:f>INDEX(Veri!$B$5:$B$8,C103)</x:f>
        <x:v>1</x:v>
      </x:c>
      <x:c r="E103" t="n">
        <x:f>INDEX(Veri!$C$5:$C$8,C103)</x:f>
        <x:v>-1</x:v>
      </x:c>
      <x:c r="F103" t="n">
        <x:f>INDEX(Veri!$D$5:$D$8,C103)</x:f>
        <x:v>-1</x:v>
      </x:c>
      <x:c r="G103" s="28" t="n">
        <x:f>M102</x:f>
        <x:v>0.5112506813964798</x:v>
      </x:c>
      <x:c r="H103" s="28" t="n">
        <x:f>N102</x:f>
        <x:v>0.47070953938914545</x:v>
      </x:c>
      <x:c r="I103" s="28" t="n">
        <x:f>O102</x:f>
        <x:v>-0.49744862224093217</x:v>
      </x:c>
      <x:c r="J103" s="30" t="n">
        <x:f>G103*D103+H103*E103+I103</x:f>
        <x:v>-0.45690748023359784</x:v>
      </x:c>
      <x:c r="K103" s="30" t="n">
        <x:f>F103-J103</x:f>
        <x:v>-0.5430925197664022</x:v>
      </x:c>
      <x:c r="L103" s="30" t="n">
        <x:f>K103^2</x:f>
        <x:v>0.2949494850262199</x:v>
      </x:c>
      <x:c r="M103" s="28" t="n">
        <x:f>G103+Parametreler!$B$4*K103*D103</x:f>
        <x:v>0.4840960554081597</x:v>
      </x:c>
      <x:c r="N103" s="28" t="n">
        <x:f>H103+Parametreler!$B$4*K103*E103</x:f>
        <x:v>0.4978641653774656</x:v>
      </x:c>
      <x:c r="O103" s="28" t="n">
        <x:f>I103+Parametreler!$B$4*K103</x:f>
        <x:v>-0.5246032482292523</x:v>
      </x:c>
    </x:row>
    <x:row r="104">
      <x:c r="A104" t="n">
        <x:f>ROW()-4</x:f>
        <x:v>100</x:v>
      </x:c>
      <x:c r="B104" t="n">
        <x:f>INT((A104-1)/Parametreler!$B$9)+1</x:f>
        <x:v>25</x:v>
      </x:c>
      <x:c r="C104" t="n">
        <x:f>MOD(A104-1,Parametreler!$B$9)+1</x:f>
        <x:v>4</x:v>
      </x:c>
      <x:c r="D104" t="n">
        <x:f>INDEX(Veri!$B$5:$B$8,C104)</x:f>
        <x:v>1</x:v>
      </x:c>
      <x:c r="E104" t="n">
        <x:f>INDEX(Veri!$C$5:$C$8,C104)</x:f>
        <x:v>1</x:v>
      </x:c>
      <x:c r="F104" t="n">
        <x:f>INDEX(Veri!$D$5:$D$8,C104)</x:f>
        <x:v>1</x:v>
      </x:c>
      <x:c r="G104" s="28" t="n">
        <x:f>M103</x:f>
        <x:v>0.4840960554081597</x:v>
      </x:c>
      <x:c r="H104" s="28" t="n">
        <x:f>N103</x:f>
        <x:v>0.4978641653774656</x:v>
      </x:c>
      <x:c r="I104" s="28" t="n">
        <x:f>O103</x:f>
        <x:v>-0.5246032482292523</x:v>
      </x:c>
      <x:c r="J104" s="30" t="n">
        <x:f>G104*D104+H104*E104+I104</x:f>
        <x:v>0.457356972556373</x:v>
      </x:c>
      <x:c r="K104" s="30" t="n">
        <x:f>F104-J104</x:f>
        <x:v>0.542643027443627</x:v>
      </x:c>
      <x:c r="L104" s="30" t="n">
        <x:f>K104^2</x:f>
        <x:v>0.29446145523318495</x:v>
      </x:c>
      <x:c r="M104" s="28" t="n">
        <x:f>G104+Parametreler!$B$4*K104*D104</x:f>
        <x:v>0.5112282067803411</x:v>
      </x:c>
      <x:c r="N104" s="28" t="n">
        <x:f>H104+Parametreler!$B$4*K104*E104</x:f>
        <x:v>0.524996316749647</x:v>
      </x:c>
      <x:c r="O104" s="28" t="n">
        <x:f>I104+Parametreler!$B$4*K104</x:f>
        <x:v>-0.49747109685707097</x:v>
      </x:c>
    </x:row>
    <x:row r="105">
      <x:c r="A105" t="n">
        <x:f>ROW()-4</x:f>
        <x:v>101</x:v>
      </x:c>
      <x:c r="B105" t="n">
        <x:f>INT((A105-1)/Parametreler!$B$9)+1</x:f>
        <x:v>26</x:v>
      </x:c>
      <x:c r="C105" t="n">
        <x:f>MOD(A105-1,Parametreler!$B$9)+1</x:f>
        <x:v>1</x:v>
      </x:c>
      <x:c r="D105" t="n">
        <x:f>INDEX(Veri!$B$5:$B$8,C105)</x:f>
        <x:v>-1</x:v>
      </x:c>
      <x:c r="E105" t="n">
        <x:f>INDEX(Veri!$C$5:$C$8,C105)</x:f>
        <x:v>-1</x:v>
      </x:c>
      <x:c r="F105" t="n">
        <x:f>INDEX(Veri!$D$5:$D$8,C105)</x:f>
        <x:v>-1</x:v>
      </x:c>
      <x:c r="G105" s="28" t="n">
        <x:f>M104</x:f>
        <x:v>0.5112282067803411</x:v>
      </x:c>
      <x:c r="H105" s="28" t="n">
        <x:f>N104</x:f>
        <x:v>0.524996316749647</x:v>
      </x:c>
      <x:c r="I105" s="28" t="n">
        <x:f>O104</x:f>
        <x:v>-0.49747109685707097</x:v>
      </x:c>
      <x:c r="J105" s="30" t="n">
        <x:f>G105*D105+H105*E105+I105</x:f>
        <x:v>-1.533695620387059</x:v>
      </x:c>
      <x:c r="K105" s="30" t="n">
        <x:f>F105-J105</x:f>
        <x:v>0.5336956203870591</x:v>
      </x:c>
      <x:c r="L105" s="30" t="n">
        <x:f>K105^2</x:f>
        <x:v>0.2848310152203279</x:v>
      </x:c>
      <x:c r="M105" s="28" t="n">
        <x:f>G105+Parametreler!$B$4*K105*D105</x:f>
        <x:v>0.48454342576098813</x:v>
      </x:c>
      <x:c r="N105" s="28" t="n">
        <x:f>H105+Parametreler!$B$4*K105*E105</x:f>
        <x:v>0.498311535730294</x:v>
      </x:c>
      <x:c r="O105" s="28" t="n">
        <x:f>I105+Parametreler!$B$4*K105</x:f>
        <x:v>-0.470786315837718</x:v>
      </x:c>
    </x:row>
    <x:row r="106">
      <x:c r="A106" t="n">
        <x:f>ROW()-4</x:f>
        <x:v>102</x:v>
      </x:c>
      <x:c r="B106" t="n">
        <x:f>INT((A106-1)/Parametreler!$B$9)+1</x:f>
        <x:v>26</x:v>
      </x:c>
      <x:c r="C106" t="n">
        <x:f>MOD(A106-1,Parametreler!$B$9)+1</x:f>
        <x:v>2</x:v>
      </x:c>
      <x:c r="D106" t="n">
        <x:f>INDEX(Veri!$B$5:$B$8,C106)</x:f>
        <x:v>-1</x:v>
      </x:c>
      <x:c r="E106" t="n">
        <x:f>INDEX(Veri!$C$5:$C$8,C106)</x:f>
        <x:v>1</x:v>
      </x:c>
      <x:c r="F106" t="n">
        <x:f>INDEX(Veri!$D$5:$D$8,C106)</x:f>
        <x:v>-1</x:v>
      </x:c>
      <x:c r="G106" s="28" t="n">
        <x:f>M105</x:f>
        <x:v>0.48454342576098813</x:v>
      </x:c>
      <x:c r="H106" s="28" t="n">
        <x:f>N105</x:f>
        <x:v>0.498311535730294</x:v>
      </x:c>
      <x:c r="I106" s="28" t="n">
        <x:f>O105</x:f>
        <x:v>-0.470786315837718</x:v>
      </x:c>
      <x:c r="J106" s="30" t="n">
        <x:f>G106*D106+H106*E106+I106</x:f>
        <x:v>-0.45701820586841213</x:v>
      </x:c>
      <x:c r="K106" s="30" t="n">
        <x:f>F106-J106</x:f>
        <x:v>-0.5429817941315879</x:v>
      </x:c>
      <x:c r="L106" s="30" t="n">
        <x:f>K106^2</x:f>
        <x:v>0.2948292287583581</x:v>
      </x:c>
      <x:c r="M106" s="28" t="n">
        <x:f>G106+Parametreler!$B$4*K106*D106</x:f>
        <x:v>0.5116925154675676</x:v>
      </x:c>
      <x:c r="N106" s="28" t="n">
        <x:f>H106+Parametreler!$B$4*K106*E106</x:f>
        <x:v>0.4711624460237146</x:v>
      </x:c>
      <x:c r="O106" s="28" t="n">
        <x:f>I106+Parametreler!$B$4*K106</x:f>
        <x:v>-0.4979354055442974</x:v>
      </x:c>
    </x:row>
    <x:row r="107">
      <x:c r="A107" t="n">
        <x:f>ROW()-4</x:f>
        <x:v>103</x:v>
      </x:c>
      <x:c r="B107" t="n">
        <x:f>INT((A107-1)/Parametreler!$B$9)+1</x:f>
        <x:v>26</x:v>
      </x:c>
      <x:c r="C107" t="n">
        <x:f>MOD(A107-1,Parametreler!$B$9)+1</x:f>
        <x:v>3</x:v>
      </x:c>
      <x:c r="D107" t="n">
        <x:f>INDEX(Veri!$B$5:$B$8,C107)</x:f>
        <x:v>1</x:v>
      </x:c>
      <x:c r="E107" t="n">
        <x:f>INDEX(Veri!$C$5:$C$8,C107)</x:f>
        <x:v>-1</x:v>
      </x:c>
      <x:c r="F107" t="n">
        <x:f>INDEX(Veri!$D$5:$D$8,C107)</x:f>
        <x:v>-1</x:v>
      </x:c>
      <x:c r="G107" s="28" t="n">
        <x:f>M106</x:f>
        <x:v>0.5116925154675676</x:v>
      </x:c>
      <x:c r="H107" s="28" t="n">
        <x:f>N106</x:f>
        <x:v>0.4711624460237146</x:v>
      </x:c>
      <x:c r="I107" s="28" t="n">
        <x:f>O106</x:f>
        <x:v>-0.4979354055442974</x:v>
      </x:c>
      <x:c r="J107" s="30" t="n">
        <x:f>G107*D107+H107*E107+I107</x:f>
        <x:v>-0.4574053361004444</x:v>
      </x:c>
      <x:c r="K107" s="30" t="n">
        <x:f>F107-J107</x:f>
        <x:v>-0.5425946638995556</x:v>
      </x:c>
      <x:c r="L107" s="30" t="n">
        <x:f>K107^2</x:f>
        <x:v>0.29440896929227167</x:v>
      </x:c>
      <x:c r="M107" s="28" t="n">
        <x:f>G107+Parametreler!$B$4*K107*D107</x:f>
        <x:v>0.48456278227258975</x:v>
      </x:c>
      <x:c r="N107" s="28" t="n">
        <x:f>H107+Parametreler!$B$4*K107*E107</x:f>
        <x:v>0.4982921792186924</x:v>
      </x:c>
      <x:c r="O107" s="28" t="n">
        <x:f>I107+Parametreler!$B$4*K107</x:f>
        <x:v>-0.5250651387392752</x:v>
      </x:c>
    </x:row>
    <x:row r="108">
      <x:c r="A108" t="n">
        <x:f>ROW()-4</x:f>
        <x:v>104</x:v>
      </x:c>
      <x:c r="B108" t="n">
        <x:f>INT((A108-1)/Parametreler!$B$9)+1</x:f>
        <x:v>26</x:v>
      </x:c>
      <x:c r="C108" t="n">
        <x:f>MOD(A108-1,Parametreler!$B$9)+1</x:f>
        <x:v>4</x:v>
      </x:c>
      <x:c r="D108" t="n">
        <x:f>INDEX(Veri!$B$5:$B$8,C108)</x:f>
        <x:v>1</x:v>
      </x:c>
      <x:c r="E108" t="n">
        <x:f>INDEX(Veri!$C$5:$C$8,C108)</x:f>
        <x:v>1</x:v>
      </x:c>
      <x:c r="F108" t="n">
        <x:f>INDEX(Veri!$D$5:$D$8,C108)</x:f>
        <x:v>1</x:v>
      </x:c>
      <x:c r="G108" s="28" t="n">
        <x:f>M107</x:f>
        <x:v>0.48456278227258975</x:v>
      </x:c>
      <x:c r="H108" s="28" t="n">
        <x:f>N107</x:f>
        <x:v>0.4982921792186924</x:v>
      </x:c>
      <x:c r="I108" s="28" t="n">
        <x:f>O107</x:f>
        <x:v>-0.5250651387392752</x:v>
      </x:c>
      <x:c r="J108" s="30" t="n">
        <x:f>G108*D108+H108*E108+I108</x:f>
        <x:v>0.45778982275200697</x:v>
      </x:c>
      <x:c r="K108" s="30" t="n">
        <x:f>F108-J108</x:f>
        <x:v>0.542210177247993</x:v>
      </x:c>
      <x:c r="L108" s="30" t="n">
        <x:f>K108^2</x:f>
        <x:v>0.2939918763113</x:v>
      </x:c>
      <x:c r="M108" s="28" t="n">
        <x:f>G108+Parametreler!$B$4*K108*D108</x:f>
        <x:v>0.5116732911349894</x:v>
      </x:c>
      <x:c r="N108" s="28" t="n">
        <x:f>H108+Parametreler!$B$4*K108*E108</x:f>
        <x:v>0.525402688081092</x:v>
      </x:c>
      <x:c r="O108" s="28" t="n">
        <x:f>I108+Parametreler!$B$4*K108</x:f>
        <x:v>-0.49795462987687555</x:v>
      </x:c>
    </x:row>
    <x:row r="109">
      <x:c r="A109" t="n">
        <x:f>ROW()-4</x:f>
        <x:v>105</x:v>
      </x:c>
      <x:c r="B109" t="n">
        <x:f>INT((A109-1)/Parametreler!$B$9)+1</x:f>
        <x:v>27</x:v>
      </x:c>
      <x:c r="C109" t="n">
        <x:f>MOD(A109-1,Parametreler!$B$9)+1</x:f>
        <x:v>1</x:v>
      </x:c>
      <x:c r="D109" t="n">
        <x:f>INDEX(Veri!$B$5:$B$8,C109)</x:f>
        <x:v>-1</x:v>
      </x:c>
      <x:c r="E109" t="n">
        <x:f>INDEX(Veri!$C$5:$C$8,C109)</x:f>
        <x:v>-1</x:v>
      </x:c>
      <x:c r="F109" t="n">
        <x:f>INDEX(Veri!$D$5:$D$8,C109)</x:f>
        <x:v>-1</x:v>
      </x:c>
      <x:c r="G109" s="28" t="n">
        <x:f>M108</x:f>
        <x:v>0.5116732911349894</x:v>
      </x:c>
      <x:c r="H109" s="28" t="n">
        <x:f>N108</x:f>
        <x:v>0.525402688081092</x:v>
      </x:c>
      <x:c r="I109" s="28" t="n">
        <x:f>O108</x:f>
        <x:v>-0.49795462987687555</x:v>
      </x:c>
      <x:c r="J109" s="30" t="n">
        <x:f>G109*D109+H109*E109+I109</x:f>
        <x:v>-1.5350306090929569</x:v>
      </x:c>
      <x:c r="K109" s="30" t="n">
        <x:f>F109-J109</x:f>
        <x:v>0.5350306090929569</x:v>
      </x:c>
      <x:c r="L109" s="30" t="n">
        <x:f>K109^2</x:f>
        <x:v>0.2862577526663804</x:v>
      </x:c>
      <x:c r="M109" s="28" t="n">
        <x:f>G109+Parametreler!$B$4*K109*D109</x:f>
        <x:v>0.48492176068034154</x:v>
      </x:c>
      <x:c r="N109" s="28" t="n">
        <x:f>H109+Parametreler!$B$4*K109*E109</x:f>
        <x:v>0.4986511576264442</x:v>
      </x:c>
      <x:c r="O109" s="28" t="n">
        <x:f>I109+Parametreler!$B$4*K109</x:f>
        <x:v>-0.4712030994222277</x:v>
      </x:c>
    </x:row>
    <x:row r="110">
      <x:c r="A110" t="n">
        <x:f>ROW()-4</x:f>
        <x:v>106</x:v>
      </x:c>
      <x:c r="B110" t="n">
        <x:f>INT((A110-1)/Parametreler!$B$9)+1</x:f>
        <x:v>27</x:v>
      </x:c>
      <x:c r="C110" t="n">
        <x:f>MOD(A110-1,Parametreler!$B$9)+1</x:f>
        <x:v>2</x:v>
      </x:c>
      <x:c r="D110" t="n">
        <x:f>INDEX(Veri!$B$5:$B$8,C110)</x:f>
        <x:v>-1</x:v>
      </x:c>
      <x:c r="E110" t="n">
        <x:f>INDEX(Veri!$C$5:$C$8,C110)</x:f>
        <x:v>1</x:v>
      </x:c>
      <x:c r="F110" t="n">
        <x:f>INDEX(Veri!$D$5:$D$8,C110)</x:f>
        <x:v>-1</x:v>
      </x:c>
      <x:c r="G110" s="28" t="n">
        <x:f>M109</x:f>
        <x:v>0.48492176068034154</x:v>
      </x:c>
      <x:c r="H110" s="28" t="n">
        <x:f>N109</x:f>
        <x:v>0.4986511576264442</x:v>
      </x:c>
      <x:c r="I110" s="28" t="n">
        <x:f>O109</x:f>
        <x:v>-0.4712030994222277</x:v>
      </x:c>
      <x:c r="J110" s="30" t="n">
        <x:f>G110*D110+H110*E110+I110</x:f>
        <x:v>-0.45747370247612507</x:v>
      </x:c>
      <x:c r="K110" s="30" t="n">
        <x:f>F110-J110</x:f>
        <x:v>-0.5425262975238749</x:v>
      </x:c>
      <x:c r="L110" s="30" t="n">
        <x:f>K110^2</x:f>
        <x:v>0.29433478350496406</x:v>
      </x:c>
      <x:c r="M110" s="28" t="n">
        <x:f>G110+Parametreler!$B$4*K110*D110</x:f>
        <x:v>0.5120480755565353</x:v>
      </x:c>
      <x:c r="N110" s="28" t="n">
        <x:f>H110+Parametreler!$B$4*K110*E110</x:f>
        <x:v>0.4715248427502504</x:v>
      </x:c>
      <x:c r="O110" s="28" t="n">
        <x:f>I110+Parametreler!$B$4*K110</x:f>
        <x:v>-0.4983294142984215</x:v>
      </x:c>
    </x:row>
    <x:row r="111">
      <x:c r="A111" t="n">
        <x:f>ROW()-4</x:f>
        <x:v>107</x:v>
      </x:c>
      <x:c r="B111" t="n">
        <x:f>INT((A111-1)/Parametreler!$B$9)+1</x:f>
        <x:v>27</x:v>
      </x:c>
      <x:c r="C111" t="n">
        <x:f>MOD(A111-1,Parametreler!$B$9)+1</x:f>
        <x:v>3</x:v>
      </x:c>
      <x:c r="D111" t="n">
        <x:f>INDEX(Veri!$B$5:$B$8,C111)</x:f>
        <x:v>1</x:v>
      </x:c>
      <x:c r="E111" t="n">
        <x:f>INDEX(Veri!$C$5:$C$8,C111)</x:f>
        <x:v>-1</x:v>
      </x:c>
      <x:c r="F111" t="n">
        <x:f>INDEX(Veri!$D$5:$D$8,C111)</x:f>
        <x:v>-1</x:v>
      </x:c>
      <x:c r="G111" s="28" t="n">
        <x:f>M110</x:f>
        <x:v>0.5120480755565353</x:v>
      </x:c>
      <x:c r="H111" s="28" t="n">
        <x:f>N110</x:f>
        <x:v>0.4715248427502504</x:v>
      </x:c>
      <x:c r="I111" s="28" t="n">
        <x:f>O110</x:f>
        <x:v>-0.4983294142984215</x:v>
      </x:c>
      <x:c r="J111" s="30" t="n">
        <x:f>G111*D111+H111*E111+I111</x:f>
        <x:v>-0.4578061814921366</x:v>
      </x:c>
      <x:c r="K111" s="30" t="n">
        <x:f>F111-J111</x:f>
        <x:v>-0.5421938185078634</x:v>
      </x:c>
      <x:c r="L111" s="30" t="n">
        <x:f>K111^2</x:f>
        <x:v>0.29397413682813794</x:v>
      </x:c>
      <x:c r="M111" s="28" t="n">
        <x:f>G111+Parametreler!$B$4*K111*D111</x:f>
        <x:v>0.48493838463114214</x:v>
      </x:c>
      <x:c r="N111" s="28" t="n">
        <x:f>H111+Parametreler!$B$4*K111*E111</x:f>
        <x:v>0.4986345336756436</x:v>
      </x:c>
      <x:c r="O111" s="28" t="n">
        <x:f>I111+Parametreler!$B$4*K111</x:f>
        <x:v>-0.5254391052238147</x:v>
      </x:c>
    </x:row>
    <x:row r="112">
      <x:c r="A112" t="n">
        <x:f>ROW()-4</x:f>
        <x:v>108</x:v>
      </x:c>
      <x:c r="B112" t="n">
        <x:f>INT((A112-1)/Parametreler!$B$9)+1</x:f>
        <x:v>27</x:v>
      </x:c>
      <x:c r="C112" t="n">
        <x:f>MOD(A112-1,Parametreler!$B$9)+1</x:f>
        <x:v>4</x:v>
      </x:c>
      <x:c r="D112" t="n">
        <x:f>INDEX(Veri!$B$5:$B$8,C112)</x:f>
        <x:v>1</x:v>
      </x:c>
      <x:c r="E112" t="n">
        <x:f>INDEX(Veri!$C$5:$C$8,C112)</x:f>
        <x:v>1</x:v>
      </x:c>
      <x:c r="F112" t="n">
        <x:f>INDEX(Veri!$D$5:$D$8,C112)</x:f>
        <x:v>1</x:v>
      </x:c>
      <x:c r="G112" s="28" t="n">
        <x:f>M111</x:f>
        <x:v>0.48493838463114214</x:v>
      </x:c>
      <x:c r="H112" s="28" t="n">
        <x:f>N111</x:f>
        <x:v>0.4986345336756436</x:v>
      </x:c>
      <x:c r="I112" s="28" t="n">
        <x:f>O111</x:f>
        <x:v>-0.5254391052238147</x:v>
      </x:c>
      <x:c r="J112" s="30" t="n">
        <x:f>G112*D112+H112*E112+I112</x:f>
        <x:v>0.4581338130829711</x:v>
      </x:c>
      <x:c r="K112" s="30" t="n">
        <x:f>F112-J112</x:f>
        <x:v>0.5418661869170289</x:v>
      </x:c>
      <x:c r="L112" s="30" t="n">
        <x:f>K112^2</x:f>
        <x:v>0.29361896452400055</x:v>
      </x:c>
      <x:c r="M112" s="28" t="n">
        <x:f>G112+Parametreler!$B$4*K112*D112</x:f>
        <x:v>0.5120316939769936</x:v>
      </x:c>
      <x:c r="N112" s="28" t="n">
        <x:f>H112+Parametreler!$B$4*K112*E112</x:f>
        <x:v>0.525727843021495</x:v>
      </x:c>
      <x:c r="O112" s="28" t="n">
        <x:f>I112+Parametreler!$B$4*K112</x:f>
        <x:v>-0.4983457958779632</x:v>
      </x:c>
    </x:row>
    <x:row r="113">
      <x:c r="A113" t="n">
        <x:f>ROW()-4</x:f>
        <x:v>109</x:v>
      </x:c>
      <x:c r="B113" t="n">
        <x:f>INT((A113-1)/Parametreler!$B$9)+1</x:f>
        <x:v>28</x:v>
      </x:c>
      <x:c r="C113" t="n">
        <x:f>MOD(A113-1,Parametreler!$B$9)+1</x:f>
        <x:v>1</x:v>
      </x:c>
      <x:c r="D113" t="n">
        <x:f>INDEX(Veri!$B$5:$B$8,C113)</x:f>
        <x:v>-1</x:v>
      </x:c>
      <x:c r="E113" t="n">
        <x:f>INDEX(Veri!$C$5:$C$8,C113)</x:f>
        <x:v>-1</x:v>
      </x:c>
      <x:c r="F113" t="n">
        <x:f>INDEX(Veri!$D$5:$D$8,C113)</x:f>
        <x:v>-1</x:v>
      </x:c>
      <x:c r="G113" s="28" t="n">
        <x:f>M112</x:f>
        <x:v>0.5120316939769936</x:v>
      </x:c>
      <x:c r="H113" s="28" t="n">
        <x:f>N112</x:f>
        <x:v>0.525727843021495</x:v>
      </x:c>
      <x:c r="I113" s="28" t="n">
        <x:f>O112</x:f>
        <x:v>-0.4983457958779632</x:v>
      </x:c>
      <x:c r="J113" s="30" t="n">
        <x:f>G113*D113+H113*E113+I113</x:f>
        <x:v>-1.5361053328764518</x:v>
      </x:c>
      <x:c r="K113" s="30" t="n">
        <x:f>F113-J113</x:f>
        <x:v>0.5361053328764518</x:v>
      </x:c>
      <x:c r="L113" s="30" t="n">
        <x:f>K113^2</x:f>
        <x:v>0.2874089279385712</x:v>
      </x:c>
      <x:c r="M113" s="28" t="n">
        <x:f>G113+Parametreler!$B$4*K113*D113</x:f>
        <x:v>0.48522642733317095</x:v>
      </x:c>
      <x:c r="N113" s="28" t="n">
        <x:f>H113+Parametreler!$B$4*K113*E113</x:f>
        <x:v>0.4989225763776724</x:v>
      </x:c>
      <x:c r="O113" s="28" t="n">
        <x:f>I113+Parametreler!$B$4*K113</x:f>
        <x:v>-0.4715405292341406</x:v>
      </x:c>
    </x:row>
    <x:row r="114">
      <x:c r="A114" t="n">
        <x:f>ROW()-4</x:f>
        <x:v>110</x:v>
      </x:c>
      <x:c r="B114" t="n">
        <x:f>INT((A114-1)/Parametreler!$B$9)+1</x:f>
        <x:v>28</x:v>
      </x:c>
      <x:c r="C114" t="n">
        <x:f>MOD(A114-1,Parametreler!$B$9)+1</x:f>
        <x:v>2</x:v>
      </x:c>
      <x:c r="D114" t="n">
        <x:f>INDEX(Veri!$B$5:$B$8,C114)</x:f>
        <x:v>-1</x:v>
      </x:c>
      <x:c r="E114" t="n">
        <x:f>INDEX(Veri!$C$5:$C$8,C114)</x:f>
        <x:v>1</x:v>
      </x:c>
      <x:c r="F114" t="n">
        <x:f>INDEX(Veri!$D$5:$D$8,C114)</x:f>
        <x:v>-1</x:v>
      </x:c>
      <x:c r="G114" s="28" t="n">
        <x:f>M113</x:f>
        <x:v>0.48522642733317095</x:v>
      </x:c>
      <x:c r="H114" s="28" t="n">
        <x:f>N113</x:f>
        <x:v>0.4989225763776724</x:v>
      </x:c>
      <x:c r="I114" s="28" t="n">
        <x:f>O113</x:f>
        <x:v>-0.4715405292341406</x:v>
      </x:c>
      <x:c r="J114" s="30" t="n">
        <x:f>G114*D114+H114*E114+I114</x:f>
        <x:v>-0.45784438018963913</x:v>
      </x:c>
      <x:c r="K114" s="30" t="n">
        <x:f>F114-J114</x:f>
        <x:v>-0.5421556198103609</x:v>
      </x:c>
      <x:c r="L114" s="30" t="n">
        <x:f>K114^2</x:f>
        <x:v>0.29393271609195654</x:v>
      </x:c>
      <x:c r="M114" s="28" t="n">
        <x:f>G114+Parametreler!$B$4*K114*D114</x:f>
        <x:v>0.512334208323689</x:v>
      </x:c>
      <x:c r="N114" s="28" t="n">
        <x:f>H114+Parametreler!$B$4*K114*E114</x:f>
        <x:v>0.4718147953871544</x:v>
      </x:c>
      <x:c r="O114" s="28" t="n">
        <x:f>I114+Parametreler!$B$4*K114</x:f>
        <x:v>-0.4986483102246586</x:v>
      </x:c>
    </x:row>
    <x:row r="115">
      <x:c r="A115" t="n">
        <x:f>ROW()-4</x:f>
        <x:v>111</x:v>
      </x:c>
      <x:c r="B115" t="n">
        <x:f>INT((A115-1)/Parametreler!$B$9)+1</x:f>
        <x:v>28</x:v>
      </x:c>
      <x:c r="C115" t="n">
        <x:f>MOD(A115-1,Parametreler!$B$9)+1</x:f>
        <x:v>3</x:v>
      </x:c>
      <x:c r="D115" t="n">
        <x:f>INDEX(Veri!$B$5:$B$8,C115)</x:f>
        <x:v>1</x:v>
      </x:c>
      <x:c r="E115" t="n">
        <x:f>INDEX(Veri!$C$5:$C$8,C115)</x:f>
        <x:v>-1</x:v>
      </x:c>
      <x:c r="F115" t="n">
        <x:f>INDEX(Veri!$D$5:$D$8,C115)</x:f>
        <x:v>-1</x:v>
      </x:c>
      <x:c r="G115" s="28" t="n">
        <x:f>M114</x:f>
        <x:v>0.512334208323689</x:v>
      </x:c>
      <x:c r="H115" s="28" t="n">
        <x:f>N114</x:f>
        <x:v>0.4718147953871544</x:v>
      </x:c>
      <x:c r="I115" s="28" t="n">
        <x:f>O114</x:f>
        <x:v>-0.4986483102246586</x:v>
      </x:c>
      <x:c r="J115" s="30" t="n">
        <x:f>G115*D115+H115*E115+I115</x:f>
        <x:v>-0.45812889728812395</x:v>
      </x:c>
      <x:c r="K115" s="30" t="n">
        <x:f>F115-J115</x:f>
        <x:v>-0.5418711027118761</x:v>
      </x:c>
      <x:c r="L115" s="30" t="n">
        <x:f>K115^2</x:f>
        <x:v>0.2936242919541846</x:v>
      </x:c>
      <x:c r="M115" s="28" t="n">
        <x:f>G115+Parametreler!$B$4*K115*D115</x:f>
        <x:v>0.48524065318809523</x:v>
      </x:c>
      <x:c r="N115" s="28" t="n">
        <x:f>H115+Parametreler!$B$4*K115*E115</x:f>
        <x:v>0.4989083505227482</x:v>
      </x:c>
      <x:c r="O115" s="28" t="n">
        <x:f>I115+Parametreler!$B$4*K115</x:f>
        <x:v>-0.5257418653602524</x:v>
      </x:c>
    </x:row>
    <x:row r="116">
      <x:c r="A116" t="n">
        <x:f>ROW()-4</x:f>
        <x:v>112</x:v>
      </x:c>
      <x:c r="B116" t="n">
        <x:f>INT((A116-1)/Parametreler!$B$9)+1</x:f>
        <x:v>28</x:v>
      </x:c>
      <x:c r="C116" t="n">
        <x:f>MOD(A116-1,Parametreler!$B$9)+1</x:f>
        <x:v>4</x:v>
      </x:c>
      <x:c r="D116" t="n">
        <x:f>INDEX(Veri!$B$5:$B$8,C116)</x:f>
        <x:v>1</x:v>
      </x:c>
      <x:c r="E116" t="n">
        <x:f>INDEX(Veri!$C$5:$C$8,C116)</x:f>
        <x:v>1</x:v>
      </x:c>
      <x:c r="F116" t="n">
        <x:f>INDEX(Veri!$D$5:$D$8,C116)</x:f>
        <x:v>1</x:v>
      </x:c>
      <x:c r="G116" s="28" t="n">
        <x:f>M115</x:f>
        <x:v>0.48524065318809523</x:v>
      </x:c>
      <x:c r="H116" s="28" t="n">
        <x:f>N115</x:f>
        <x:v>0.4989083505227482</x:v>
      </x:c>
      <x:c r="I116" s="28" t="n">
        <x:f>O115</x:f>
        <x:v>-0.5257418653602524</x:v>
      </x:c>
      <x:c r="J116" s="30" t="n">
        <x:f>G116*D116+H116*E116+I116</x:f>
        <x:v>0.458407138350591</x:v>
      </x:c>
      <x:c r="K116" s="30" t="n">
        <x:f>F116-J116</x:f>
        <x:v>0.541592861649409</x:v>
      </x:c>
      <x:c r="L116" s="30" t="n">
        <x:f>K116^2</x:f>
        <x:v>0.2933228277895959</x:v>
      </x:c>
      <x:c r="M116" s="28" t="n">
        <x:f>G116+Parametreler!$B$4*K116*D116</x:f>
        <x:v>0.5123202962705656</x:v>
      </x:c>
      <x:c r="N116" s="28" t="n">
        <x:f>H116+Parametreler!$B$4*K116*E116</x:f>
        <x:v>0.5259879936052186</x:v>
      </x:c>
      <x:c r="O116" s="28" t="n">
        <x:f>I116+Parametreler!$B$4*K116</x:f>
        <x:v>-0.4986622222777819</x:v>
      </x:c>
    </x:row>
    <x:row r="117">
      <x:c r="A117" t="n">
        <x:f>ROW()-4</x:f>
        <x:v>113</x:v>
      </x:c>
      <x:c r="B117" t="n">
        <x:f>INT((A117-1)/Parametreler!$B$9)+1</x:f>
        <x:v>29</x:v>
      </x:c>
      <x:c r="C117" t="n">
        <x:f>MOD(A117-1,Parametreler!$B$9)+1</x:f>
        <x:v>1</x:v>
      </x:c>
      <x:c r="D117" t="n">
        <x:f>INDEX(Veri!$B$5:$B$8,C117)</x:f>
        <x:v>-1</x:v>
      </x:c>
      <x:c r="E117" t="n">
        <x:f>INDEX(Veri!$C$5:$C$8,C117)</x:f>
        <x:v>-1</x:v>
      </x:c>
      <x:c r="F117" t="n">
        <x:f>INDEX(Veri!$D$5:$D$8,C117)</x:f>
        <x:v>-1</x:v>
      </x:c>
      <x:c r="G117" s="28" t="n">
        <x:f>M116</x:f>
        <x:v>0.5123202962705656</x:v>
      </x:c>
      <x:c r="H117" s="28" t="n">
        <x:f>N116</x:f>
        <x:v>0.5259879936052186</x:v>
      </x:c>
      <x:c r="I117" s="28" t="n">
        <x:f>O116</x:f>
        <x:v>-0.4986622222777819</x:v>
      </x:c>
      <x:c r="J117" s="30" t="n">
        <x:f>G117*D117+H117*E117+I117</x:f>
        <x:v>-1.5369705121535662</x:v>
      </x:c>
      <x:c r="K117" s="30" t="n">
        <x:f>F117-J117</x:f>
        <x:v>0.5369705121535662</x:v>
      </x:c>
      <x:c r="L117" s="30" t="n">
        <x:f>K117^2</x:f>
        <x:v>0.28833733092246316</x:v>
      </x:c>
      <x:c r="M117" s="28" t="n">
        <x:f>G117+Parametreler!$B$4*K117*D117</x:f>
        <x:v>0.4854717706628873</x:v>
      </x:c>
      <x:c r="N117" s="28" t="n">
        <x:f>H117+Parametreler!$B$4*K117*E117</x:f>
        <x:v>0.49913946799754033</x:v>
      </x:c>
      <x:c r="O117" s="28" t="n">
        <x:f>I117+Parametreler!$B$4*K117</x:f>
        <x:v>-0.4718136966701036</x:v>
      </x:c>
    </x:row>
    <x:row r="118">
      <x:c r="A118" t="n">
        <x:f>ROW()-4</x:f>
        <x:v>114</x:v>
      </x:c>
      <x:c r="B118" t="n">
        <x:f>INT((A118-1)/Parametreler!$B$9)+1</x:f>
        <x:v>29</x:v>
      </x:c>
      <x:c r="C118" t="n">
        <x:f>MOD(A118-1,Parametreler!$B$9)+1</x:f>
        <x:v>2</x:v>
      </x:c>
      <x:c r="D118" t="n">
        <x:f>INDEX(Veri!$B$5:$B$8,C118)</x:f>
        <x:v>-1</x:v>
      </x:c>
      <x:c r="E118" t="n">
        <x:f>INDEX(Veri!$C$5:$C$8,C118)</x:f>
        <x:v>1</x:v>
      </x:c>
      <x:c r="F118" t="n">
        <x:f>INDEX(Veri!$D$5:$D$8,C118)</x:f>
        <x:v>-1</x:v>
      </x:c>
      <x:c r="G118" s="28" t="n">
        <x:f>M117</x:f>
        <x:v>0.4854717706628873</x:v>
      </x:c>
      <x:c r="H118" s="28" t="n">
        <x:f>N117</x:f>
        <x:v>0.49913946799754033</x:v>
      </x:c>
      <x:c r="I118" s="28" t="n">
        <x:f>O117</x:f>
        <x:v>-0.4718136966701036</x:v>
      </x:c>
      <x:c r="J118" s="30" t="n">
        <x:f>G118*D118+H118*E118+I118</x:f>
        <x:v>-0.4581459993354506</x:v>
      </x:c>
      <x:c r="K118" s="30" t="n">
        <x:f>F118-J118</x:f>
        <x:v>-0.5418540006645494</x:v>
      </x:c>
      <x:c r="L118" s="30" t="n">
        <x:f>K118^2</x:f>
        <x:v>0.29360575803617744</x:v>
      </x:c>
      <x:c r="M118" s="28" t="n">
        <x:f>G118+Parametreler!$B$4*K118*D118</x:f>
        <x:v>0.5125644706961148</x:v>
      </x:c>
      <x:c r="N118" s="28" t="n">
        <x:f>H118+Parametreler!$B$4*K118*E118</x:f>
        <x:v>0.4720467679643129</x:v>
      </x:c>
      <x:c r="O118" s="28" t="n">
        <x:f>I118+Parametreler!$B$4*K118</x:f>
        <x:v>-0.49890639670333103</x:v>
      </x:c>
    </x:row>
    <x:row r="119">
      <x:c r="A119" t="n">
        <x:f>ROW()-4</x:f>
        <x:v>115</x:v>
      </x:c>
      <x:c r="B119" t="n">
        <x:f>INT((A119-1)/Parametreler!$B$9)+1</x:f>
        <x:v>29</x:v>
      </x:c>
      <x:c r="C119" t="n">
        <x:f>MOD(A119-1,Parametreler!$B$9)+1</x:f>
        <x:v>3</x:v>
      </x:c>
      <x:c r="D119" t="n">
        <x:f>INDEX(Veri!$B$5:$B$8,C119)</x:f>
        <x:v>1</x:v>
      </x:c>
      <x:c r="E119" t="n">
        <x:f>INDEX(Veri!$C$5:$C$8,C119)</x:f>
        <x:v>-1</x:v>
      </x:c>
      <x:c r="F119" t="n">
        <x:f>INDEX(Veri!$D$5:$D$8,C119)</x:f>
        <x:v>-1</x:v>
      </x:c>
      <x:c r="G119" s="28" t="n">
        <x:f>M118</x:f>
        <x:v>0.5125644706961148</x:v>
      </x:c>
      <x:c r="H119" s="28" t="n">
        <x:f>N118</x:f>
        <x:v>0.4720467679643129</x:v>
      </x:c>
      <x:c r="I119" s="28" t="n">
        <x:f>O118</x:f>
        <x:v>-0.49890639670333103</x:v>
      </x:c>
      <x:c r="J119" s="30" t="n">
        <x:f>G119*D119+H119*E119+I119</x:f>
        <x:v>-0.45838869397152915</x:v>
      </x:c>
      <x:c r="K119" s="30" t="n">
        <x:f>F119-J119</x:f>
        <x:v>-0.5416113060284709</x:v>
      </x:c>
      <x:c r="L119" s="30" t="n">
        <x:f>K119^2</x:f>
        <x:v>0.2933428068178659</x:v>
      </x:c>
      <x:c r="M119" s="28" t="n">
        <x:f>G119+Parametreler!$B$4*K119*D119</x:f>
        <x:v>0.4854839053946912</x:v>
      </x:c>
      <x:c r="N119" s="28" t="n">
        <x:f>H119+Parametreler!$B$4*K119*E119</x:f>
        <x:v>0.49912733326573644</x:v>
      </x:c>
      <x:c r="O119" s="28" t="n">
        <x:f>I119+Parametreler!$B$4*K119</x:f>
        <x:v>-0.5259869620047546</x:v>
      </x:c>
    </x:row>
    <x:row r="120">
      <x:c r="A120" t="n">
        <x:f>ROW()-4</x:f>
        <x:v>116</x:v>
      </x:c>
      <x:c r="B120" t="n">
        <x:f>INT((A120-1)/Parametreler!$B$9)+1</x:f>
        <x:v>29</x:v>
      </x:c>
      <x:c r="C120" t="n">
        <x:f>MOD(A120-1,Parametreler!$B$9)+1</x:f>
        <x:v>4</x:v>
      </x:c>
      <x:c r="D120" t="n">
        <x:f>INDEX(Veri!$B$5:$B$8,C120)</x:f>
        <x:v>1</x:v>
      </x:c>
      <x:c r="E120" t="n">
        <x:f>INDEX(Veri!$C$5:$C$8,C120)</x:f>
        <x:v>1</x:v>
      </x:c>
      <x:c r="F120" t="n">
        <x:f>INDEX(Veri!$D$5:$D$8,C120)</x:f>
        <x:v>1</x:v>
      </x:c>
      <x:c r="G120" s="28" t="n">
        <x:f>M119</x:f>
        <x:v>0.4854839053946912</x:v>
      </x:c>
      <x:c r="H120" s="28" t="n">
        <x:f>N119</x:f>
        <x:v>0.49912733326573644</x:v>
      </x:c>
      <x:c r="I120" s="28" t="n">
        <x:f>O119</x:f>
        <x:v>-0.5259869620047546</x:v>
      </x:c>
      <x:c r="J120" s="30" t="n">
        <x:f>G120*D120+H120*E120+I120</x:f>
        <x:v>0.45862427665567307</x:v>
      </x:c>
      <x:c r="K120" s="30" t="n">
        <x:f>F120-J120</x:f>
        <x:v>0.5413757233443269</x:v>
      </x:c>
      <x:c r="L120" s="30" t="n">
        <x:f>K120^2</x:f>
        <x:v>0.29308767382659323</x:v>
      </x:c>
      <x:c r="M120" s="28" t="n">
        <x:f>G120+Parametreler!$B$4*K120*D120</x:f>
        <x:v>0.5125526915619075</x:v>
      </x:c>
      <x:c r="N120" s="28" t="n">
        <x:f>H120+Parametreler!$B$4*K120*E120</x:f>
        <x:v>0.5261961194329527</x:v>
      </x:c>
      <x:c r="O120" s="28" t="n">
        <x:f>I120+Parametreler!$B$4*K120</x:f>
        <x:v>-0.4989181758375382</x:v>
      </x:c>
    </x:row>
    <x:row r="121">
      <x:c r="A121" t="n">
        <x:f>ROW()-4</x:f>
        <x:v>117</x:v>
      </x:c>
      <x:c r="B121" t="n">
        <x:f>INT((A121-1)/Parametreler!$B$9)+1</x:f>
        <x:v>30</x:v>
      </x:c>
      <x:c r="C121" t="n">
        <x:f>MOD(A121-1,Parametreler!$B$9)+1</x:f>
        <x:v>1</x:v>
      </x:c>
      <x:c r="D121" t="n">
        <x:f>INDEX(Veri!$B$5:$B$8,C121)</x:f>
        <x:v>-1</x:v>
      </x:c>
      <x:c r="E121" t="n">
        <x:f>INDEX(Veri!$C$5:$C$8,C121)</x:f>
        <x:v>-1</x:v>
      </x:c>
      <x:c r="F121" t="n">
        <x:f>INDEX(Veri!$D$5:$D$8,C121)</x:f>
        <x:v>-1</x:v>
      </x:c>
      <x:c r="G121" s="28" t="n">
        <x:f>M120</x:f>
        <x:v>0.5125526915619075</x:v>
      </x:c>
      <x:c r="H121" s="28" t="n">
        <x:f>N120</x:f>
        <x:v>0.5261961194329527</x:v>
      </x:c>
      <x:c r="I121" s="28" t="n">
        <x:f>O120</x:f>
        <x:v>-0.4989181758375382</x:v>
      </x:c>
      <x:c r="J121" s="30" t="n">
        <x:f>G121*D121+H121*E121+I121</x:f>
        <x:v>-1.5376669868323984</x:v>
      </x:c>
      <x:c r="K121" s="30" t="n">
        <x:f>F121-J121</x:f>
        <x:v>0.5376669868323984</x:v>
      </x:c>
      <x:c r="L121" s="30" t="n">
        <x:f>K121^2</x:f>
        <x:v>0.2890857887294305</x:v>
      </x:c>
      <x:c r="M121" s="28" t="n">
        <x:f>G121+Parametreler!$B$4*K121*D121</x:f>
        <x:v>0.4856693422202876</x:v>
      </x:c>
      <x:c r="N121" s="28" t="n">
        <x:f>H121+Parametreler!$B$4*K121*E121</x:f>
        <x:v>0.49931277009133285</x:v>
      </x:c>
      <x:c r="O121" s="28" t="n">
        <x:f>I121+Parametreler!$B$4*K121</x:f>
        <x:v>-0.4720348264959183</x:v>
      </x:c>
    </x:row>
    <x:row r="122">
      <x:c r="A122" t="n">
        <x:f>ROW()-4</x:f>
        <x:v>118</x:v>
      </x:c>
      <x:c r="B122" t="n">
        <x:f>INT((A122-1)/Parametreler!$B$9)+1</x:f>
        <x:v>30</x:v>
      </x:c>
      <x:c r="C122" t="n">
        <x:f>MOD(A122-1,Parametreler!$B$9)+1</x:f>
        <x:v>2</x:v>
      </x:c>
      <x:c r="D122" t="n">
        <x:f>INDEX(Veri!$B$5:$B$8,C122)</x:f>
        <x:v>-1</x:v>
      </x:c>
      <x:c r="E122" t="n">
        <x:f>INDEX(Veri!$C$5:$C$8,C122)</x:f>
        <x:v>1</x:v>
      </x:c>
      <x:c r="F122" t="n">
        <x:f>INDEX(Veri!$D$5:$D$8,C122)</x:f>
        <x:v>-1</x:v>
      </x:c>
      <x:c r="G122" s="28" t="n">
        <x:f>M121</x:f>
        <x:v>0.4856693422202876</x:v>
      </x:c>
      <x:c r="H122" s="28" t="n">
        <x:f>N121</x:f>
        <x:v>0.49931277009133285</x:v>
      </x:c>
      <x:c r="I122" s="28" t="n">
        <x:f>O121</x:f>
        <x:v>-0.4720348264959183</x:v>
      </x:c>
      <x:c r="J122" s="30" t="n">
        <x:f>G122*D122+H122*E122+I122</x:f>
        <x:v>-0.4583913986248731</x:v>
      </x:c>
      <x:c r="K122" s="30" t="n">
        <x:f>F122-J122</x:f>
        <x:v>-0.5416086013751269</x:v>
      </x:c>
      <x:c r="L122" s="30" t="n">
        <x:f>K122^2</x:f>
        <x:v>0.2933398770835211</x:v>
      </x:c>
      <x:c r="M122" s="28" t="n">
        <x:f>G122+Parametreler!$B$4*K122*D122</x:f>
        <x:v>0.512749772289044</x:v>
      </x:c>
      <x:c r="N122" s="28" t="n">
        <x:f>H122+Parametreler!$B$4*K122*E122</x:f>
        <x:v>0.4722323400225765</x:v>
      </x:c>
      <x:c r="O122" s="28" t="n">
        <x:f>I122+Parametreler!$B$4*K122</x:f>
        <x:v>-0.49911525656467465</x:v>
      </x:c>
    </x:row>
    <x:row r="123">
      <x:c r="A123" t="n">
        <x:f>ROW()-4</x:f>
        <x:v>119</x:v>
      </x:c>
      <x:c r="B123" t="n">
        <x:f>INT((A123-1)/Parametreler!$B$9)+1</x:f>
        <x:v>30</x:v>
      </x:c>
      <x:c r="C123" t="n">
        <x:f>MOD(A123-1,Parametreler!$B$9)+1</x:f>
        <x:v>3</x:v>
      </x:c>
      <x:c r="D123" t="n">
        <x:f>INDEX(Veri!$B$5:$B$8,C123)</x:f>
        <x:v>1</x:v>
      </x:c>
      <x:c r="E123" t="n">
        <x:f>INDEX(Veri!$C$5:$C$8,C123)</x:f>
        <x:v>-1</x:v>
      </x:c>
      <x:c r="F123" t="n">
        <x:f>INDEX(Veri!$D$5:$D$8,C123)</x:f>
        <x:v>-1</x:v>
      </x:c>
      <x:c r="G123" s="28" t="n">
        <x:f>M122</x:f>
        <x:v>0.512749772289044</x:v>
      </x:c>
      <x:c r="H123" s="28" t="n">
        <x:f>N122</x:f>
        <x:v>0.4722323400225765</x:v>
      </x:c>
      <x:c r="I123" s="28" t="n">
        <x:f>O122</x:f>
        <x:v>-0.49911525656467465</x:v>
      </x:c>
      <x:c r="J123" s="30" t="n">
        <x:f>G123*D123+H123*E123+I123</x:f>
        <x:v>-0.4585978242982072</x:v>
      </x:c>
      <x:c r="K123" s="30" t="n">
        <x:f>F123-J123</x:f>
        <x:v>-0.5414021757017928</x:v>
      </x:c>
      <x:c r="L123" s="30" t="n">
        <x:f>K123^2</x:f>
        <x:v>0.29311631585463493</x:v>
      </x:c>
      <x:c r="M123" s="28" t="n">
        <x:f>G123+Parametreler!$B$4*K123*D123</x:f>
        <x:v>0.4856796635039543</x:v>
      </x:c>
      <x:c r="N123" s="28" t="n">
        <x:f>H123+Parametreler!$B$4*K123*E123</x:f>
        <x:v>0.49930244880766617</x:v>
      </x:c>
      <x:c r="O123" s="28" t="n">
        <x:f>I123+Parametreler!$B$4*K123</x:f>
        <x:v>-0.5261853653497643</x:v>
      </x:c>
    </x:row>
    <x:row r="124">
      <x:c r="A124" t="n">
        <x:f>ROW()-4</x:f>
        <x:v>120</x:v>
      </x:c>
      <x:c r="B124" t="n">
        <x:f>INT((A124-1)/Parametreler!$B$9)+1</x:f>
        <x:v>30</x:v>
      </x:c>
      <x:c r="C124" t="n">
        <x:f>MOD(A124-1,Parametreler!$B$9)+1</x:f>
        <x:v>4</x:v>
      </x:c>
      <x:c r="D124" t="n">
        <x:f>INDEX(Veri!$B$5:$B$8,C124)</x:f>
        <x:v>1</x:v>
      </x:c>
      <x:c r="E124" t="n">
        <x:f>INDEX(Veri!$C$5:$C$8,C124)</x:f>
        <x:v>1</x:v>
      </x:c>
      <x:c r="F124" t="n">
        <x:f>INDEX(Veri!$D$5:$D$8,C124)</x:f>
        <x:v>1</x:v>
      </x:c>
      <x:c r="G124" s="28" t="n">
        <x:f>M123</x:f>
        <x:v>0.4856796635039543</x:v>
      </x:c>
      <x:c r="H124" s="28" t="n">
        <x:f>N123</x:f>
        <x:v>0.49930244880766617</x:v>
      </x:c>
      <x:c r="I124" s="28" t="n">
        <x:f>O123</x:f>
        <x:v>-0.5261853653497643</x:v>
      </x:c>
      <x:c r="J124" s="30" t="n">
        <x:f>G124*D124+H124*E124+I124</x:f>
        <x:v>0.45879674696185613</x:v>
      </x:c>
      <x:c r="K124" s="30" t="n">
        <x:f>F124-J124</x:f>
        <x:v>0.5412032530381439</x:v>
      </x:c>
      <x:c r="L124" s="30" t="n">
        <x:f>K124^2</x:f>
        <x:v>0.29290096109906916</x:v>
      </x:c>
      <x:c r="M124" s="28" t="n">
        <x:f>G124+Parametreler!$B$4*K124*D124</x:f>
        <x:v>0.5127398261558616</x:v>
      </x:c>
      <x:c r="N124" s="28" t="n">
        <x:f>H124+Parametreler!$B$4*K124*E124</x:f>
        <x:v>0.5263626114595734</x:v>
      </x:c>
      <x:c r="O124" s="28" t="n">
        <x:f>I124+Parametreler!$B$4*K124</x:f>
        <x:v>-0.49912520269785715</x:v>
      </x:c>
    </x:row>
  </x:sheetData>
  <x:mergeCells>
    <x:mergeCell ref="A1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7" max="7" width="28" hidden="0" customWidth="1"/>
    <x:col min="8" max="8" width="35" hidden="0" customWidth="1"/>
  </x:cols>
  <x:sheetData>
    <x:row r="1" ht="36" customHeight="1">
      <x:c r="A1" s="4" t="str">
        <x:v>04 | Öğrenme analizi ve yakınsama</x:v>
      </x:c>
      <x:c r="B1" s="4"/>
      <x:c r="C1" s="4"/>
      <x:c r="D1" s="4"/>
      <x:c r="E1" s="4"/>
      <x:c r="F1" s="4"/>
      <x:c r="G1" s="4"/>
      <x:c r="H1" s="4"/>
    </x:row>
    <x:row r="2" ht="36" customHeight="1">
      <x:c r="A2" s="4"/>
      <x:c r="B2" s="4"/>
      <x:c r="C2" s="4"/>
      <x:c r="D2" s="4"/>
      <x:c r="E2" s="4"/>
      <x:c r="F2" s="4"/>
      <x:c r="G2" s="4"/>
      <x:c r="H2" s="4"/>
    </x:row>
    <x:row r="4" ht="29" customHeight="1">
      <x:c r="A4" s="19" t="str">
        <x:v>Epoch</x:v>
      </x:c>
      <x:c r="B4" s="19" t="str">
        <x:v>MSE (ön güncelleme)</x:v>
      </x:c>
      <x:c r="C4" s="19" t="str">
        <x:v>w1 (epoch sonu)</x:v>
      </x:c>
      <x:c r="D4" s="19" t="str">
        <x:v>w2 (epoch sonu)</x:v>
      </x:c>
      <x:c r="E4" s="19" t="str">
        <x:v>Bias (epoch sonu)</x:v>
      </x:c>
      <x:c r="G4" s="17" t="str">
        <x:v>ÖZET</x:v>
      </x:c>
      <x:c r="H4" s="17" t="str">
        <x:v>Değer</x:v>
      </x:c>
    </x:row>
    <x:row r="5">
      <x:c r="A5" t="n">
        <x:f>ROW()-4</x:f>
        <x:v>1</x:v>
      </x:c>
      <x:c r="B5" s="28" t="n">
        <x:f>SUMIF(Egitim!$B$5:$B$124,A5,Egitim!$L$5:$L$124)/Parametreler!$B$9</x:f>
        <x:v>0.99862516015625</x:v>
      </x:c>
      <x:c r="C5" s="28" t="n">
        <x:f>INDEX(Egitim!$M$5:$M$124,A5*Parametreler!$B$9)</x:f>
        <x:v>0.09999374999999999</x:v>
      </x:c>
      <x:c r="D5" s="28" t="n">
        <x:f>INDEX(Egitim!$N$5:$N$124,A5*Parametreler!$B$9)</x:f>
        <x:v>0.10474375</x:v>
      </x:c>
      <x:c r="E5" s="28" t="n">
        <x:f>INDEX(Egitim!$O$5:$O$124,A5*Parametreler!$B$9)</x:f>
        <x:v>-0.09500625000000001</x:v>
      </x:c>
      <x:c r="G5" t="str">
        <x:v>İlk epoch MSE</x:v>
      </x:c>
      <x:c r="H5" s="28" t="n">
        <x:f>B5</x:f>
        <x:v>0.99862516015625</x:v>
      </x:c>
    </x:row>
    <x:row r="6">
      <x:c r="A6" t="n">
        <x:f>ROW()-4</x:f>
        <x:v>2</x:v>
      </x:c>
      <x:c r="B6" s="28" t="n">
        <x:f>SUMIF(Egitim!$B$5:$B$124,A6,Egitim!$L$5:$L$124)/Parametreler!$B$9</x:f>
        <x:v>0.7434258629290017</x:v>
      </x:c>
      <x:c r="C6" s="28" t="n">
        <x:f>INDEX(Egitim!$M$5:$M$124,A6*Parametreler!$B$9)</x:f>
        <x:v>0.1805167780859375</x:v>
      </x:c>
      <x:c r="D6" s="28" t="n">
        <x:f>INDEX(Egitim!$N$5:$N$124,A6*Parametreler!$B$9)</x:f>
        <x:v>0.18869043277343753</x:v>
      </x:c>
      <x:c r="E6" s="28" t="n">
        <x:f>INDEX(Egitim!$O$5:$O$124,A6*Parametreler!$B$9)</x:f>
        <x:v>-0.1719819406640625</x:v>
      </x:c>
      <x:c r="G6" t="str">
        <x:v>Son epoch MSE</x:v>
      </x:c>
      <x:c r="H6" s="28" t="n">
        <x:f>B34</x:f>
        <x:v>0.2921107356916639</x:v>
      </x:c>
    </x:row>
    <x:row r="7">
      <x:c r="A7" t="n">
        <x:f>ROW()-4</x:f>
        <x:v>3</x:v>
      </x:c>
      <x:c r="B7" s="28" t="n">
        <x:f>SUMIF(Egitim!$B$5:$B$124,A7,Egitim!$L$5:$L$124)/Parametreler!$B$9</x:f>
        <x:v>0.5792732820581077</x:v>
      </x:c>
      <x:c r="C7" s="28" t="n">
        <x:f>INDEX(Egitim!$M$5:$M$124,A7*Parametreler!$B$9)</x:f>
        <x:v>0.24536031139957007</x:v>
      </x:c>
      <x:c r="D7" s="28" t="n">
        <x:f>INDEX(Egitim!$N$5:$N$124,A7*Parametreler!$B$9)</x:f>
        <x:v>0.25596549100756816</x:v>
      </x:c>
      <x:c r="E7" s="28" t="n">
        <x:f>INDEX(Egitim!$O$5:$O$124,A7*Parametreler!$B$9)</x:f>
        <x:v>-0.2343446093580471</x:v>
      </x:c>
      <x:c r="G7" t="str">
        <x:v>MSE iyileşme oranı</x:v>
      </x:c>
      <x:c r="H7" s="32" t="n">
        <x:f>IF(H5=0,0,1-H6/H5)</x:f>
        <x:v>0.7074871059267536</x:v>
      </x:c>
    </x:row>
    <x:row r="8">
      <x:c r="A8" t="n">
        <x:f>ROW()-4</x:f>
        <x:v>4</x:v>
      </x:c>
      <x:c r="B8" s="28" t="n">
        <x:f>SUMIF(Egitim!$B$5:$B$124,A8,Egitim!$L$5:$L$124)/Parametreler!$B$9</x:f>
        <x:v>0.47390497044365376</x:v>
      </x:c>
      <x:c r="C8" s="28" t="n">
        <x:f>INDEX(Egitim!$M$5:$M$124,A8*Parametreler!$B$9)</x:f>
        <x:v>0.29757738998947936</x:v>
      </x:c>
      <x:c r="D8" s="28" t="n">
        <x:f>INDEX(Egitim!$N$5:$N$124,A8*Parametreler!$B$9)</x:f>
        <x:v>0.3098767541300689</x:v>
      </x:c>
      <x:c r="E8" s="28" t="n">
        <x:f>INDEX(Egitim!$O$5:$O$124,A8*Parametreler!$B$9)</x:f>
        <x:v>-0.28486489867544035</x:v>
      </x:c>
      <x:c r="G8" t="str">
        <x:v>Son w1</x:v>
      </x:c>
      <x:c r="H8" s="28" t="n">
        <x:f>C34</x:f>
        <x:v>0.5127398261558616</x:v>
      </x:c>
    </x:row>
    <x:row r="9">
      <x:c r="A9" t="n">
        <x:f>ROW()-4</x:f>
        <x:v>5</x:v>
      </x:c>
      <x:c r="B9" s="28" t="n">
        <x:f>SUMIF(Egitim!$B$5:$B$124,A9,Egitim!$L$5:$L$124)/Parametreler!$B$9</x:f>
        <x:v>0.40644778710928164</x:v>
      </x:c>
      <x:c r="C9" s="28" t="n">
        <x:f>INDEX(Egitim!$M$5:$M$124,A9*Parametreler!$B$9)</x:f>
        <x:v>0.33962659512408083</x:v>
      </x:c>
      <x:c r="D9" s="28" t="n">
        <x:f>INDEX(Egitim!$N$5:$N$124,A9*Parametreler!$B$9)</x:f>
        <x:v>0.35307633852457704</x:v>
      </x:c>
      <x:c r="E9" s="28" t="n">
        <x:f>INDEX(Egitim!$O$5:$O$124,A9*Parametreler!$B$9)</x:f>
        <x:v>-0.32578883102182987</x:v>
      </x:c>
      <x:c r="G9" t="str">
        <x:v>Son w2</x:v>
      </x:c>
      <x:c r="H9" s="28" t="n">
        <x:f>D34</x:f>
        <x:v>0.5263626114595734</x:v>
      </x:c>
    </x:row>
    <x:row r="10">
      <x:c r="A10" t="n">
        <x:f>ROW()-4</x:f>
        <x:v>6</x:v>
      </x:c>
      <x:c r="B10" s="28" t="n">
        <x:f>SUMIF(Egitim!$B$5:$B$124,A10,Egitim!$L$5:$L$124)/Parametreler!$B$9</x:f>
        <x:v>0.36340567522936984</x:v>
      </x:c>
      <x:c r="C10" s="28" t="n">
        <x:f>INDEX(Egitim!$M$5:$M$124,A10*Parametreler!$B$9)</x:f>
        <x:v>0.37348779373304547</x:v>
      </x:c>
      <x:c r="D10" s="28" t="n">
        <x:f>INDEX(Egitim!$N$5:$N$124,A10*Parametreler!$B$9)</x:f>
        <x:v>0.38769051595650333</x:v>
      </x:c>
      <x:c r="E10" s="28" t="n">
        <x:f>INDEX(Egitim!$O$5:$O$124,A10*Parametreler!$B$9)</x:f>
        <x:v>-0.3589370060070356</x:v>
      </x:c>
    </x:row>
    <x:row r="11">
      <x:c r="A11" t="n">
        <x:f>ROW()-4</x:f>
        <x:v>7</x:v>
      </x:c>
      <x:c r="B11" s="28" t="n">
        <x:f>SUMIF(Egitim!$B$5:$B$124,A11,Egitim!$L$5:$L$124)/Parametreler!$B$9</x:f>
        <x:v>0.33605919441191523</x:v>
      </x:c>
      <x:c r="C11" s="28" t="n">
        <x:f>INDEX(Egitim!$M$5:$M$124,A11*Parametreler!$B$9)</x:f>
        <x:v>0.4007553473048139</x:v>
      </x:c>
      <x:c r="D11" s="28" t="n">
        <x:f>INDEX(Egitim!$N$5:$N$124,A11*Parametreler!$B$9)</x:f>
        <x:v>0.4154238824935864</x:v>
      </x:c>
      <x:c r="E11" s="28" t="n">
        <x:f>INDEX(Egitim!$O$5:$O$124,A11*Parametreler!$B$9)</x:f>
        <x:v>-0.3857850690657339</x:v>
      </x:c>
      <x:c r="G11" t="str">
        <x:v>Son bias</x:v>
      </x:c>
      <x:c r="H11" s="28" t="n">
        <x:f>E34</x:f>
        <x:v>-0.49912520269785715</x:v>
      </x:c>
    </x:row>
    <x:row r="12">
      <x:c r="A12" t="n">
        <x:f>ROW()-4</x:f>
        <x:v>8</x:v>
      </x:c>
      <x:c r="B12" s="28" t="n">
        <x:f>SUMIF(Egitim!$B$5:$B$124,A12,Egitim!$L$5:$L$124)/Parametreler!$B$9</x:f>
        <x:v>0.3187803958238524</x:v>
      </x:c>
      <x:c r="C12" s="28" t="n">
        <x:f>INDEX(Egitim!$M$5:$M$124,A12*Parametreler!$B$9)</x:f>
        <x:v>0.42271317282786647</x:v>
      </x:c>
      <x:c r="D12" s="28" t="n">
        <x:f>INDEX(Egitim!$N$5:$N$124,A12*Parametreler!$B$9)</x:f>
        <x:v>0.4376429093842157</x:v>
      </x:c>
      <x:c r="E12" s="28" t="n">
        <x:f>INDEX(Egitim!$O$5:$O$124,A12*Parametreler!$B$9)</x:f>
        <x:v>-0.40752898176289243</x:v>
      </x:c>
      <x:c r="G12" t="str">
        <x:v>Çıktı sınıfı kuralı</x:v>
      </x:c>
      <x:c r="H12" t="str">
        <x:v>y ≥ 0 ⇒ +1, aksi ⇒ -1</x:v>
      </x:c>
    </x:row>
    <x:row r="13">
      <x:c r="A13" t="n">
        <x:f>ROW()-4</x:f>
        <x:v>9</x:v>
      </x:c>
      <x:c r="B13" s="28" t="n">
        <x:f>SUMIF(Egitim!$B$5:$B$124,A13,Egitim!$L$5:$L$124)/Parametreler!$B$9</x:f>
        <x:v>0.30794111329384594</x:v>
      </x:c>
      <x:c r="C13" s="28" t="n">
        <x:f>INDEX(Egitim!$M$5:$M$124,A13*Parametreler!$B$9)</x:f>
        <x:v>0.4403951891354284</x:v>
      </x:c>
      <x:c r="D13" s="28" t="n">
        <x:f>INDEX(Egitim!$N$5:$N$124,A13*Parametreler!$B$9)</x:f>
        <x:v>0.4554429534204688</x:v>
      </x:c>
      <x:c r="E13" s="28" t="n">
        <x:f>INDEX(Egitim!$O$5:$O$124,A13*Parametreler!$B$9)</x:f>
        <x:v>-0.4251379598570536</x:v>
      </x:c>
    </x:row>
    <x:row r="14">
      <x:c r="A14" t="n">
        <x:f>ROW()-4</x:f>
        <x:v>10</x:v>
      </x:c>
      <x:c r="B14" s="28" t="n">
        <x:f>SUMIF(Egitim!$B$5:$B$124,A14,Egitim!$L$5:$L$124)/Parametreler!$B$9</x:f>
        <x:v>0.3012059120211544</x:v>
      </x:c>
      <x:c r="C14" s="28" t="n">
        <x:f>INDEX(Egitim!$M$5:$M$124,A14*Parametreler!$B$9)</x:f>
        <x:v>0.4546339940930151</x:v>
      </x:c>
      <x:c r="D14" s="28" t="n">
        <x:f>INDEX(Egitim!$N$5:$N$124,A14*Parametreler!$B$9)</x:f>
        <x:v>0.4697019985687906</x:v>
      </x:c>
      <x:c r="E14" s="28" t="n">
        <x:f>INDEX(Egitim!$O$5:$O$124,A14*Parametreler!$B$9)</x:f>
        <x:v>-0.4393974056130353</x:v>
      </x:c>
    </x:row>
    <x:row r="15">
      <x:c r="A15" t="n">
        <x:f>ROW()-4</x:f>
        <x:v>11</x:v>
      </x:c>
      <x:c r="B15" s="28" t="n">
        <x:f>SUMIF(Egitim!$B$5:$B$124,A15,Egitim!$L$5:$L$124)/Parametreler!$B$9</x:f>
        <x:v>0.2970743332569419</x:v>
      </x:c>
      <x:c r="C15" s="28" t="n">
        <x:f>INDEX(Egitim!$M$5:$M$124,A15*Parametreler!$B$9)</x:f>
        <x:v>0.4661000640782585</x:v>
      </x:c>
      <x:c r="D15" s="28" t="n">
        <x:f>INDEX(Egitim!$N$5:$N$124,A15*Parametreler!$B$9)</x:f>
        <x:v>0.48112375400276136</x:v>
      </x:c>
      <x:c r="E15" s="28" t="n">
        <x:f>INDEX(Egitim!$O$5:$O$124,A15*Parametreler!$B$9)</x:f>
        <x:v>-0.45094372267795596</x:v>
      </x:c>
    </x:row>
    <x:row r="16">
      <x:c r="A16" t="n">
        <x:f>ROW()-4</x:f>
        <x:v>12</x:v>
      </x:c>
      <x:c r="B16" s="28" t="n">
        <x:f>SUMIF(Egitim!$B$5:$B$124,A16,Egitim!$L$5:$L$124)/Parametreler!$B$9</x:f>
        <x:v>0.29458467334767274</x:v>
      </x:c>
      <x:c r="C16" s="28" t="n">
        <x:f>INDEX(Egitim!$M$5:$M$124,A16*Parametreler!$B$9)</x:f>
        <x:v>0.4753333210686285</x:v>
      </x:c>
      <x:c r="D16" s="28" t="n">
        <x:f>INDEX(Egitim!$N$5:$N$124,A16*Parametreler!$B$9)</x:f>
        <x:v>0.49027221472965327</x:v>
      </x:c>
      <x:c r="E16" s="28" t="n">
        <x:f>INDEX(Egitim!$O$5:$O$124,A16*Parametreler!$B$9)</x:f>
        <x:v>-0.460292546040138</x:v>
      </x:c>
    </x:row>
    <x:row r="17">
      <x:c r="A17" t="n">
        <x:f>ROW()-4</x:f>
        <x:v>13</x:v>
      </x:c>
      <x:c r="B17" s="28" t="n">
        <x:f>SUMIF(Egitim!$B$5:$B$124,A17,Egitim!$L$5:$L$124)/Parametreler!$B$9</x:f>
        <x:v>0.293122403811639</x:v>
      </x:c>
      <x:c r="C17" s="28" t="n">
        <x:f>INDEX(Egitim!$M$5:$M$124,A17*Parametreler!$B$9)</x:f>
        <x:v>0.4827685533769399</x:v>
      </x:c>
      <x:c r="D17" s="28" t="n">
        <x:f>INDEX(Egitim!$N$5:$N$124,A17*Parametreler!$B$9)</x:f>
        <x:v>0.4975993745643237</x:v>
      </x:c>
      <x:c r="E17" s="28" t="n">
        <x:f>INDEX(Egitim!$O$5:$O$124,A17*Parametreler!$B$9)</x:f>
        <x:v>-0.46786163071926545</x:v>
      </x:c>
    </x:row>
    <x:row r="18">
      <x:c r="A18" t="n">
        <x:f>ROW()-4</x:f>
        <x:v>14</x:v>
      </x:c>
      <x:c r="B18" s="28" t="n">
        <x:f>SUMIF(Egitim!$B$5:$B$124,A18,Egitim!$L$5:$L$124)/Parametreler!$B$9</x:f>
        <x:v>0.29229635558006845</x:v>
      </x:c>
      <x:c r="C18" s="28" t="n">
        <x:f>INDEX(Egitim!$M$5:$M$124,A18*Parametreler!$B$9)</x:f>
        <x:v>0.4887558867468193</x:v>
      </x:c>
      <x:c r="D18" s="28" t="n">
        <x:f>INDEX(Egitim!$N$5:$N$124,A18*Parametreler!$B$9)</x:f>
        <x:v>0.5034674470387321</x:v>
      </x:c>
      <x:c r="E18" s="28" t="n">
        <x:f>INDEX(Egitim!$O$5:$O$124,A18*Parametreler!$B$9)</x:f>
        <x:v>-0.47398940832344766</x:v>
      </x:c>
    </x:row>
    <x:row r="19">
      <x:c r="A19" t="n">
        <x:f>ROW()-4</x:f>
        <x:v>15</x:v>
      </x:c>
      <x:c r="B19" s="28" t="n">
        <x:f>SUMIF(Egitim!$B$5:$B$124,A19,Egitim!$L$5:$L$124)/Parametreler!$B$9</x:f>
        <x:v>0.29185876905056063</x:v>
      </x:c>
      <x:c r="C19" s="28" t="n">
        <x:f>INDEX(Egitim!$M$5:$M$124,A19*Parametreler!$B$9)</x:f>
        <x:v>0.4935772695225874</x:v>
      </x:c>
      <x:c r="D19" s="28" t="n">
        <x:f>INDEX(Egitim!$N$5:$N$124,A19*Parametreler!$B$9)</x:f>
        <x:v>0.5081666817014873</x:v>
      </x:c>
      <x:c r="E19" s="28" t="n">
        <x:f>INDEX(Egitim!$O$5:$O$124,A19*Parametreler!$B$9)</x:f>
        <x:v>-0.47895003024417115</x:v>
      </x:c>
    </x:row>
    <x:row r="20">
      <x:c r="A20" t="n">
        <x:f>ROW()-4</x:f>
        <x:v>16</x:v>
      </x:c>
      <x:c r="B20" s="28" t="n">
        <x:f>SUMIF(Egitim!$B$5:$B$124,A20,Egitim!$L$5:$L$124)/Parametreler!$B$9</x:f>
        <x:v>0.2916537258920903</x:v>
      </x:c>
      <x:c r="C20" s="28" t="n">
        <x:f>INDEX(Egitim!$M$5:$M$124,A20*Parametreler!$B$9)</x:f>
        <x:v>0.49745974797349246</x:v>
      </x:c>
      <x:c r="D20" s="28" t="n">
        <x:f>INDEX(Egitim!$N$5:$N$124,A20*Parametreler!$B$9)</x:f>
        <x:v>0.511929648121653</x:v>
      </x:c>
      <x:c r="E20" s="28" t="n">
        <x:f>INDEX(Egitim!$O$5:$O$124,A20*Parametreler!$B$9)</x:f>
        <x:v>-0.4829655617472557</x:v>
      </x:c>
    </x:row>
    <x:row r="21">
      <x:c r="A21" t="n">
        <x:f>ROW()-4</x:f>
        <x:v>17</x:v>
      </x:c>
      <x:c r="B21" s="28" t="n">
        <x:f>SUMIF(Egitim!$B$5:$B$124,A21,Egitim!$L$5:$L$124)/Parametreler!$B$9</x:f>
        <x:v>0.29158393303695185</x:v>
      </x:c>
      <x:c r="C21" s="28" t="n">
        <x:f>INDEX(Egitim!$M$5:$M$124,A21*Parametreler!$B$9)</x:f>
        <x:v>0.5005861567491783</x:v>
      </x:c>
      <x:c r="D21" s="28" t="n">
        <x:f>INDEX(Egitim!$N$5:$N$124,A21*Parametreler!$B$9)</x:f>
        <x:v>0.5149426872991719</x:v>
      </x:c>
      <x:c r="E21" s="28" t="n">
        <x:f>INDEX(Egitim!$O$5:$O$124,A21*Parametreler!$B$9)</x:f>
        <x:v>-0.4862158658166321</x:v>
      </x:c>
    </x:row>
    <x:row r="22">
      <x:c r="A22" t="n">
        <x:f>ROW()-4</x:f>
        <x:v>18</x:v>
      </x:c>
      <x:c r="B22" s="28" t="n">
        <x:f>SUMIF(Egitim!$B$5:$B$124,A22,Egitim!$L$5:$L$124)/Parametreler!$B$9</x:f>
        <x:v>0.2915893645740381</x:v>
      </x:c>
      <x:c r="C22" s="28" t="n">
        <x:f>INDEX(Egitim!$M$5:$M$124,A22*Parametreler!$B$9)</x:f>
        <x:v>0.50310372775935</x:v>
      </x:c>
      <x:c r="D22" s="28" t="n">
        <x:f>INDEX(Egitim!$N$5:$N$124,A22*Parametreler!$B$9)</x:f>
        <x:v>0.517355091700478</x:v>
      </x:c>
      <x:c r="E22" s="28" t="n">
        <x:f>INDEX(Egitim!$O$5:$O$124,A22*Parametreler!$B$9)</x:f>
        <x:v>-0.4888466138426233</x:v>
      </x:c>
    </x:row>
    <x:row r="23">
      <x:c r="A23" t="n">
        <x:f>ROW()-4</x:f>
        <x:v>19</x:v>
      </x:c>
      <x:c r="B23" s="28" t="n">
        <x:f>SUMIF(Egitim!$B$5:$B$124,A23,Egitim!$L$5:$L$124)/Parametreler!$B$9</x:f>
        <x:v>0.291633558173373</x:v>
      </x:c>
      <x:c r="C23" s="28" t="n">
        <x:f>INDEX(Egitim!$M$5:$M$124,A23*Parametreler!$B$9)</x:f>
        <x:v>0.50513102277816</x:v>
      </x:c>
      <x:c r="D23" s="28" t="n">
        <x:f>INDEX(Egitim!$N$5:$N$124,A23*Parametreler!$B$9)</x:f>
        <x:v>0.5192864640398805</x:v>
      </x:c>
      <x:c r="E23" s="28" t="n">
        <x:f>INDEX(Egitim!$O$5:$O$124,A23*Parametreler!$B$9)</x:f>
        <x:v>-0.4909757776699309</x:v>
      </x:c>
    </x:row>
    <x:row r="24">
      <x:c r="A24" t="n">
        <x:f>ROW()-4</x:f>
        <x:v>20</x:v>
      </x:c>
      <x:c r="B24" s="28" t="n">
        <x:f>SUMIF(Egitim!$B$5:$B$124,A24,Egitim!$L$5:$L$124)/Parametreler!$B$9</x:f>
        <x:v>0.2916948468680781</x:v>
      </x:c>
      <x:c r="C24" s="28" t="n">
        <x:f>INDEX(Egitim!$M$5:$M$124,A24*Parametreler!$B$9)</x:f>
        <x:v>0.5067635161603319</x:v>
      </x:c>
      <x:c r="D24" s="28" t="n">
        <x:f>INDEX(Egitim!$N$5:$N$124,A24*Parametreler!$B$9)</x:f>
        <x:v>0.5208326158037893</x:v>
      </x:c>
      <x:c r="E24" s="28" t="n">
        <x:f>INDEX(Egitim!$O$5:$O$124,A24*Parametreler!$B$9)</x:f>
        <x:v>-0.4926988905205808</x:v>
      </x:c>
    </x:row>
    <x:row r="25">
      <x:c r="A25" t="n">
        <x:f>ROW()-4</x:f>
        <x:v>21</x:v>
      </x:c>
      <x:c r="B25" s="28" t="n">
        <x:f>SUMIF(Egitim!$B$5:$B$124,A25,Egitim!$L$5:$L$124)/Parametreler!$B$9</x:f>
        <x:v>0.2917607682919786</x:v>
      </x:c>
      <x:c r="C25" s="28" t="n">
        <x:f>INDEX(Egitim!$M$5:$M$124,A25*Parametreler!$B$9)</x:f>
        <x:v>0.5080780905069087</x:v>
      </x:c>
      <x:c r="D25" s="28" t="n">
        <x:f>INDEX(Egitim!$N$5:$N$124,A25*Parametreler!$B$9)</x:f>
        <x:v>0.5220702950229101</x:v>
      </x:c>
      <x:c r="E25" s="28" t="n">
        <x:f>INDEX(Egitim!$O$5:$O$124,A25*Parametreler!$B$9)</x:f>
        <x:v>-0.494093309950245</x:v>
      </x:c>
    </x:row>
    <x:row r="26">
      <x:c r="A26" t="n">
        <x:f>ROW()-4</x:f>
        <x:v>22</x:v>
      </x:c>
      <x:c r="B26" s="28" t="n">
        <x:f>SUMIF(Egitim!$B$5:$B$124,A26,Egitim!$L$5:$L$124)/Parametreler!$B$9</x:f>
        <x:v>0.2918245158342283</x:v>
      </x:c>
      <x:c r="C26" s="28" t="n">
        <x:f>INDEX(Egitim!$M$5:$M$124,A26*Parametreler!$B$9)</x:f>
        <x:v>0.5091366569424141</x:v>
      </x:c>
      <x:c r="D26" s="28" t="n">
        <x:f>INDEX(Egitim!$N$5:$N$124,A26*Parametreler!$B$9)</x:f>
        <x:v>0.523060975451914</x:v>
      </x:c>
      <x:c r="E26" s="28" t="n">
        <x:f>INDEX(Egitim!$O$5:$O$124,A26*Parametreler!$B$9)</x:f>
        <x:v>-0.49522167190070937</x:v>
      </x:c>
    </x:row>
    <x:row r="27">
      <x:c r="A27" t="n">
        <x:f>ROW()-4</x:f>
        <x:v>23</x:v>
      </x:c>
      <x:c r="B27" s="28" t="n">
        <x:f>SUMIF(Egitim!$B$5:$B$124,A27,Egitim!$L$5:$L$124)/Parametreler!$B$9</x:f>
        <x:v>0.291882698932607</x:v>
      </x:c>
      <x:c r="C27" s="28" t="n">
        <x:f>INDEX(Egitim!$M$5:$M$124,A27*Parametreler!$B$9)</x:f>
        <x:v>0.5099890704531582</x:v>
      </x:c>
      <x:c r="D27" s="28" t="n">
        <x:f>INDEX(Egitim!$N$5:$N$124,A27*Parametreler!$B$9)</x:f>
        <x:v>0.5238538933198758</x:v>
      </x:c>
      <x:c r="E27" s="28" t="n">
        <x:f>INDEX(Egitim!$O$5:$O$124,A27*Parametreler!$B$9)</x:f>
        <x:v>-0.49613468914281583</x:v>
      </x:c>
    </x:row>
    <x:row r="28">
      <x:c r="A28" t="n">
        <x:f>ROW()-4</x:f>
        <x:v>24</x:v>
      </x:c>
      <x:c r="B28" s="28" t="n">
        <x:f>SUMIF(Egitim!$B$5:$B$124,A28,Egitim!$L$5:$L$124)/Parametreler!$B$9</x:f>
        <x:v>0.29193394022710395</x:v>
      </x:c>
      <x:c r="C28" s="28" t="n">
        <x:f>INDEX(Egitim!$M$5:$M$124,A28*Parametreler!$B$9)</x:f>
        <x:v>0.5106754775484531</x:v>
      </x:c>
      <x:c r="D28" s="28" t="n">
        <x:f>INDEX(Egitim!$N$5:$N$124,A28*Parametreler!$B$9)</x:f>
        <x:v>0.5244884809236756</x:v>
      </x:c>
      <x:c r="E28" s="28" t="n">
        <x:f>INDEX(Egitim!$O$5:$O$124,A28*Parametreler!$B$9)</x:f>
        <x:v>-0.49687341839290544</x:v>
      </x:c>
    </x:row>
    <x:row r="29">
      <x:c r="A29" t="n">
        <x:f>ROW()-4</x:f>
        <x:v>25</x:v>
      </x:c>
      <x:c r="B29" s="28" t="n">
        <x:f>SUMIF(Egitim!$B$5:$B$124,A29,Egitim!$L$5:$L$124)/Parametreler!$B$9</x:f>
        <x:v>0.29197800566691107</x:v>
      </x:c>
      <x:c r="C29" s="28" t="n">
        <x:f>INDEX(Egitim!$M$5:$M$124,A29*Parametreler!$B$9)</x:f>
        <x:v>0.5112282067803411</x:v>
      </x:c>
      <x:c r="D29" s="28" t="n">
        <x:f>INDEX(Egitim!$N$5:$N$124,A29*Parametreler!$B$9)</x:f>
        <x:v>0.524996316749647</x:v>
      </x:c>
      <x:c r="E29" s="28" t="n">
        <x:f>INDEX(Egitim!$O$5:$O$124,A29*Parametreler!$B$9)</x:f>
        <x:v>-0.49747109685707097</x:v>
      </x:c>
    </x:row>
    <x:row r="30">
      <x:c r="A30" t="n">
        <x:f>ROW()-4</x:f>
        <x:v>26</x:v>
      </x:c>
      <x:c r="B30" s="28" t="n">
        <x:f>SUMIF(Egitim!$B$5:$B$124,A30,Egitim!$L$5:$L$124)/Parametreler!$B$9</x:f>
        <x:v>0.2920152723955644</x:v>
      </x:c>
      <x:c r="C30" s="28" t="n">
        <x:f>INDEX(Egitim!$M$5:$M$124,A30*Parametreler!$B$9)</x:f>
        <x:v>0.5116732911349894</x:v>
      </x:c>
      <x:c r="D30" s="28" t="n">
        <x:f>INDEX(Egitim!$N$5:$N$124,A30*Parametreler!$B$9)</x:f>
        <x:v>0.525402688081092</x:v>
      </x:c>
      <x:c r="E30" s="28" t="n">
        <x:f>INDEX(Egitim!$O$5:$O$124,A30*Parametreler!$B$9)</x:f>
        <x:v>-0.49795462987687555</x:v>
      </x:c>
    </x:row>
    <x:row r="31">
      <x:c r="A31" t="n">
        <x:f>ROW()-4</x:f>
        <x:v>27</x:v>
      </x:c>
      <x:c r="B31" s="28" t="n">
        <x:f>SUMIF(Egitim!$B$5:$B$124,A31,Egitim!$L$5:$L$124)/Parametreler!$B$9</x:f>
        <x:v>0.29204640938087073</x:v>
      </x:c>
      <x:c r="C31" s="28" t="n">
        <x:f>INDEX(Egitim!$M$5:$M$124,A31*Parametreler!$B$9)</x:f>
        <x:v>0.5120316939769936</x:v>
      </x:c>
      <x:c r="D31" s="28" t="n">
        <x:f>INDEX(Egitim!$N$5:$N$124,A31*Parametreler!$B$9)</x:f>
        <x:v>0.525727843021495</x:v>
      </x:c>
      <x:c r="E31" s="28" t="n">
        <x:f>INDEX(Egitim!$O$5:$O$124,A31*Parametreler!$B$9)</x:f>
        <x:v>-0.4983457958779632</x:v>
      </x:c>
    </x:row>
    <x:row r="32">
      <x:c r="A32" t="n">
        <x:f>ROW()-4</x:f>
        <x:v>28</x:v>
      </x:c>
      <x:c r="B32" s="28" t="n">
        <x:f>SUMIF(Egitim!$B$5:$B$124,A32,Egitim!$L$5:$L$124)/Parametreler!$B$9</x:f>
        <x:v>0.29207219094357706</x:v>
      </x:c>
      <x:c r="C32" s="28" t="n">
        <x:f>INDEX(Egitim!$M$5:$M$124,A32*Parametreler!$B$9)</x:f>
        <x:v>0.5123202962705656</x:v>
      </x:c>
      <x:c r="D32" s="28" t="n">
        <x:f>INDEX(Egitim!$N$5:$N$124,A32*Parametreler!$B$9)</x:f>
        <x:v>0.5259879936052186</x:v>
      </x:c>
      <x:c r="E32" s="28" t="n">
        <x:f>INDEX(Egitim!$O$5:$O$124,A32*Parametreler!$B$9)</x:f>
        <x:v>-0.4986622222777819</x:v>
      </x:c>
    </x:row>
    <x:row r="33">
      <x:c r="A33" t="n">
        <x:f>ROW()-4</x:f>
        <x:v>29</x:v>
      </x:c>
      <x:c r="B33" s="28" t="n">
        <x:f>SUMIF(Egitim!$B$5:$B$124,A33,Egitim!$L$5:$L$124)/Parametreler!$B$9</x:f>
        <x:v>0.2920933924007749</x:v>
      </x:c>
      <x:c r="C33" s="28" t="n">
        <x:f>INDEX(Egitim!$M$5:$M$124,A33*Parametreler!$B$9)</x:f>
        <x:v>0.5125526915619075</x:v>
      </x:c>
      <x:c r="D33" s="28" t="n">
        <x:f>INDEX(Egitim!$N$5:$N$124,A33*Parametreler!$B$9)</x:f>
        <x:v>0.5261961194329527</x:v>
      </x:c>
      <x:c r="E33" s="28" t="n">
        <x:f>INDEX(Egitim!$O$5:$O$124,A33*Parametreler!$B$9)</x:f>
        <x:v>-0.4989181758375382</x:v>
      </x:c>
    </x:row>
    <x:row r="34">
      <x:c r="A34" t="n">
        <x:f>ROW()-4</x:f>
        <x:v>30</x:v>
      </x:c>
      <x:c r="B34" s="28" t="n">
        <x:f>SUMIF(Egitim!$B$5:$B$124,A34,Egitim!$L$5:$L$124)/Parametreler!$B$9</x:f>
        <x:v>0.2921107356916639</x:v>
      </x:c>
      <x:c r="C34" s="28" t="n">
        <x:f>INDEX(Egitim!$M$5:$M$124,A34*Parametreler!$B$9)</x:f>
        <x:v>0.5127398261558616</x:v>
      </x:c>
      <x:c r="D34" s="28" t="n">
        <x:f>INDEX(Egitim!$N$5:$N$124,A34*Parametreler!$B$9)</x:f>
        <x:v>0.5263626114595734</x:v>
      </x:c>
      <x:c r="E34" s="28" t="n">
        <x:f>INDEX(Egitim!$O$5:$O$124,A34*Parametreler!$B$9)</x:f>
        <x:v>-0.49912520269785715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592ea57ec2d346b3"/>
</x:worksheet>
</file>