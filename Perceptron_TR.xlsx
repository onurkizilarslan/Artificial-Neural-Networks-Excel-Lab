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d240858a1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şlangıç" sheetId="1" r:id="R5fdf42a969c942d1"/>
    <x:sheet xmlns:r="http://schemas.openxmlformats.org/officeDocument/2006/relationships" name="Parametreler" sheetId="2" r:id="Rdc472389825b4a4e"/>
    <x:sheet xmlns:r="http://schemas.openxmlformats.org/officeDocument/2006/relationships" name="Veri Kümesi" sheetId="3" r:id="Rd1cb71cba3c948d8"/>
    <x:sheet xmlns:r="http://schemas.openxmlformats.org/officeDocument/2006/relationships" name="Eğitim Adımları" sheetId="4" r:id="R4f92c4679d874298"/>
    <x:sheet xmlns:r="http://schemas.openxmlformats.org/officeDocument/2006/relationships" name="Epoch Analizi" sheetId="5" r:id="R8ef0517681d14775"/>
    <x:sheet xmlns:r="http://schemas.openxmlformats.org/officeDocument/2006/relationships" name="Grafikler" sheetId="6" r:id="R5bcfbb9aecab4877"/>
    <x:sheet xmlns:r="http://schemas.openxmlformats.org/officeDocument/2006/relationships" name="Formüller" sheetId="7" r:id="R2683e3e291fa4941"/>
    <x:sheet xmlns:r="http://schemas.openxmlformats.org/officeDocument/2006/relationships" name="Teknik Terimler" sheetId="8" r:id="R8a137f8be3cd4921"/>
    <x:sheet xmlns:r="http://schemas.openxmlformats.org/officeDocument/2006/relationships" name="Örnek Çözüm" sheetId="9" r:id="R1bbbd9bc7706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3"/>
      </x:patternFill>
    </x:fill>
    <x:fill>
      <x:patternFill patternType="solid">
        <x:fgColor rgb="FF0F766E"/>
      </x:patternFill>
    </x:fill>
    <x:fill>
      <x:patternFill patternType="solid">
        <x:fgColor rgb="FFFFF0D0"/>
      </x:patternFill>
    </x:fill>
    <x:fill>
      <x:patternFill patternType="solid">
        <x:fgColor rgb="FFEDF1F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A52A2A"/>
      </x:font>
      <x:fill>
        <x:patternFill>
          <x:bgColor rgb="FFFDE8E7"/>
        </x:patternFill>
      </x:fill>
    </x:dxf>
    <x:dxf>
      <x:font>
        <x:color rgb="FF166534"/>
      </x:font>
      <x:fill>
        <x:patternFill>
          <x:bgColor rgb="FFDC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e5900f7294d91" /><Relationship Type="http://schemas.openxmlformats.org/officeDocument/2006/relationships/theme" Target="/xl/theme/theme1.xml" Id="R5d7607e8202d4268" /><Relationship Type="http://schemas.openxmlformats.org/officeDocument/2006/relationships/sharedStrings" Target="/xl/sharedStrings.xml" Id="R00ef7869f5264057" /><Relationship Type="http://schemas.openxmlformats.org/officeDocument/2006/relationships/worksheet" Target="/xl/worksheets/sheet1.xml" Id="R5fdf42a969c942d1" /><Relationship Type="http://schemas.openxmlformats.org/officeDocument/2006/relationships/worksheet" Target="/xl/worksheets/sheet2.xml" Id="Rdc472389825b4a4e" /><Relationship Type="http://schemas.openxmlformats.org/officeDocument/2006/relationships/worksheet" Target="/xl/worksheets/sheet3.xml" Id="Rd1cb71cba3c948d8" /><Relationship Type="http://schemas.openxmlformats.org/officeDocument/2006/relationships/worksheet" Target="/xl/worksheets/sheet4.xml" Id="R4f92c4679d874298" /><Relationship Type="http://schemas.openxmlformats.org/officeDocument/2006/relationships/worksheet" Target="/xl/worksheets/sheet5.xml" Id="R8ef0517681d14775" /><Relationship Type="http://schemas.openxmlformats.org/officeDocument/2006/relationships/worksheet" Target="/xl/worksheets/sheet6.xml" Id="R5bcfbb9aecab4877" /><Relationship Type="http://schemas.openxmlformats.org/officeDocument/2006/relationships/worksheet" Target="/xl/worksheets/sheet7.xml" Id="R2683e3e291fa4941" /><Relationship Type="http://schemas.openxmlformats.org/officeDocument/2006/relationships/worksheet" Target="/xl/worksheets/sheet8.xml" Id="R8a137f8be3cd4921" /><Relationship Type="http://schemas.openxmlformats.org/officeDocument/2006/relationships/worksheet" Target="/xl/worksheets/sheet9.xml" Id="R1bbbd9bc770649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6715503c924acf" /><Relationship Type="http://schemas.openxmlformats.org/officeDocument/2006/relationships/chart" Target="/xl/drawings/charts/chart2.xml" Id="Rcb724fe0024c4b04" /><Relationship Type="http://schemas.openxmlformats.org/officeDocument/2006/relationships/chart" Target="/xl/drawings/charts/chart3.xml" Id="R5bfcc2d19b974ae7" /><Relationship Type="http://schemas.openxmlformats.org/officeDocument/2006/relationships/chart" Target="/xl/drawings/charts/chart4.xml" Id="Rc0077da477d949e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Epoch bazında eğitim hataları</c:v>
          </c:tx>
          <c:marker>
            <c:symbol val="none"/>
          </c:marker>
          <c:cat>
            <c:strRef>
              <c:f>'Epoch Analizi'!$A$6:$A$25</c:f>
              <c:strCache>
                <c:ptCount val="0"/>
              </c:strCache>
            </c:strRef>
          </c:cat>
          <c:val>
            <c:numRef>
              <c:f>'Epoch Analizi'!$B$6:$B$25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Epoch sonu doğruluk</c:v>
          </c:tx>
          <c:marker>
            <c:symbol val="none"/>
          </c:marker>
          <c:cat>
            <c:strRef>
              <c:f>'Epoch Analizi'!$A$6:$A$25</c:f>
              <c:strCache>
                <c:ptCount val="0"/>
              </c:strCache>
            </c:strRef>
          </c:cat>
          <c:val>
            <c:numRef>
              <c:f>'Epoch Analizi'!$G$6:$G$25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w1 ağırlık değişimi</c:v>
          </c:tx>
          <c:marker>
            <c:symbol val="none"/>
          </c:marker>
          <c:cat>
            <c:strRef>
              <c:f>'Epoch Analizi'!$A$6:$A$25</c:f>
              <c:strCache>
                <c:ptCount val="0"/>
              </c:strCache>
            </c:strRef>
          </c:cat>
          <c:val>
            <c:numRef>
              <c:f>'Epoch Analizi'!$C$6:$C$25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Bias değişimi</c:v>
          </c:tx>
          <c:marker>
            <c:symbol val="none"/>
          </c:marker>
          <c:cat>
            <c:strRef>
              <c:f>'Epoch Analizi'!$A$6:$A$25</c:f>
              <c:strCache>
                <c:ptCount val="0"/>
              </c:strCache>
            </c:strRef>
          </c:cat>
          <c:val>
            <c:numRef>
              <c:f>'Epoch Analizi'!$E$6:$E$25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6715503c924acf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724fe0024c4b04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fcc2d19b974ae7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077da477d949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5f05508e501407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6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4" t="str">
        <x:v>PERCEPTRON | Etkileşimli Öğrenme Laboratuvarı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9" t="str">
        <x:v>Eşik fonksiyonuyla sınıflandırma • Hatalarda ağırlık güncellemesi • 20 epoch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5" t="str">
        <x:v>Bölüm</x:v>
      </x:c>
      <x:c r="B5" s="15" t="str">
        <x:v>Amacı</x:v>
      </x:c>
      <x:c r="C5" s="15" t="str">
        <x:v>Öğrenme çıktısı</x:v>
      </x:c>
    </x:row>
    <x:row r="6">
      <x:c r="A6" t="str">
        <x:v>Parametreler</x:v>
      </x:c>
      <x:c r="B6" t="str">
        <x:v>Öğrenme oranını, başlangıç ağırlıklarını ve bias değerini değiştir.</x:v>
      </x:c>
      <x:c r="C6" t="str">
        <x:v>Güncellemelerin hızını ve başlangıç karar sınırını incele.</x:v>
      </x:c>
    </x:row>
    <x:row r="7">
      <x:c r="A7" t="str">
        <x:v>Veri Kümesi</x:v>
      </x:c>
      <x:c r="B7" t="str">
        <x:v>Bipolar AND girişlerini ve hedeflerini gösterir.</x:v>
      </x:c>
      <x:c r="C7" t="str">
        <x:v>AND mantığını ve doğrusal ayrılabilirliği kavra.</x:v>
      </x:c>
    </x:row>
    <x:row r="8">
      <x:c r="A8" t="str">
        <x:v>Eğitim Adımları</x:v>
      </x:c>
      <x:c r="B8" t="str">
        <x:v>80 örnek işleme adımını formüllerle hesaplar.</x:v>
      </x:c>
      <x:c r="C8" t="str">
        <x:v>Net, tahmin, hata ve güncellenmiş ağırlıkları takip et.</x:v>
      </x:c>
    </x:row>
    <x:row r="9">
      <x:c r="A9" t="str">
        <x:v>Epoch Analizi</x:v>
      </x:c>
      <x:c r="B9" t="str">
        <x:v>Epoch sonundaki ağırlık, hata sayısı ve doğruluk.</x:v>
      </x:c>
      <x:c r="C9" t="str">
        <x:v>Öğrenme eğilimini ve sınıflandırma başarısını yorumla.</x:v>
      </x:c>
    </x:row>
    <x:row r="10">
      <x:c r="A10" t="str">
        <x:v>Grafikler</x:v>
      </x:c>
      <x:c r="B10" t="str">
        <x:v>Hata sayısı, doğruluk ve ağırlık eğrilerini gösterir.</x:v>
      </x:c>
      <x:c r="C10" t="str">
        <x:v>Öğrenmeyi görsel olarak değerlendir.</x:v>
      </x:c>
    </x:row>
    <x:row r="11">
      <x:c r="A11" t="str">
        <x:v>Formüller</x:v>
      </x:c>
      <x:c r="B11" t="str">
        <x:v>Algoritma denklemleri ve Excel formülleri.</x:v>
      </x:c>
      <x:c r="C11" t="str">
        <x:v>Hücre formülü ↔ matematiksel işlem ilişkisini öğren.</x:v>
      </x:c>
    </x:row>
    <x:row r="12">
      <x:c r="A12" t="str">
        <x:v>Teknik Terimler</x:v>
      </x:c>
      <x:c r="B12" t="str">
        <x:v>Temel kavramların Türkçe açıklamaları.</x:v>
      </x:c>
      <x:c r="C12" t="str">
        <x:v>Terimleri eğitim materyali olarak kullan.</x:v>
      </x:c>
    </x:row>
    <x:row r="13">
      <x:c r="A13" t="str">
        <x:v>Örnek Çözüm</x:v>
      </x:c>
      <x:c r="B13" t="str">
        <x:v>İlk öğrenme adımını sayısal olarak gösterir.</x:v>
      </x:c>
      <x:c r="C13" t="str">
        <x:v>İşlemleri bağımsız olarak kontrol et.</x:v>
      </x:c>
    </x:row>
    <x:row r="17" ht="24" customHeight="1">
      <x:c r="A17" s="13" t="str">
        <x:v>KULLANIM ADIMLARI</x:v>
      </x:c>
    </x:row>
    <x:row r="18">
      <x:c r="A18" t="str">
        <x:v>1</x:v>
      </x:c>
      <x:c r="B18" t="str">
        <x:v>Parametreler sayfasındaki sarı hücreleri düzenle.</x:v>
      </x:c>
      <x:c r="C18" t="str"/>
    </x:row>
    <x:row r="19">
      <x:c r="A19" t="str">
        <x:v>2</x:v>
      </x:c>
      <x:c r="B19" t="str">
        <x:v>Eğitim Adımları sayfasında satır satır hesaplanan değerleri izle.</x:v>
      </x:c>
      <x:c r="C19" t="str"/>
    </x:row>
    <x:row r="20">
      <x:c r="A20" t="str">
        <x:v>3</x:v>
      </x:c>
      <x:c r="B20" t="str">
        <x:v>Epoch Analizi ve Grafikler ile öğrenmeyi karşılaştır.</x:v>
      </x:c>
      <x:c r="C20" t="str"/>
    </x:row>
    <x:row r="21">
      <x:c r="A21" t="str">
        <x:v>4</x:v>
      </x:c>
      <x:c r="B21" t="str">
        <x:v>Öğrenme oranını değiştir; yakınsamayı karşılaştır.</x:v>
      </x:c>
      <x:c r="C21" t="str"/>
    </x:row>
    <x:row r="24" ht="28" customHeight="1">
      <x:c r="A24" s="21" t="str">
        <x:v>Not: Perceptron sınıflandırma hatalarına göre eğitilir; ADALINE'dan farklı olarak LMS / MSE'yi optimize etmez. AND doğrusal ayrılabilir, XOR tek katmanlı Perceptron ile ayrılamaz.</x:v>
      </x:c>
      <x:c r="B24" s="21"/>
      <x:c r="C24" s="21"/>
      <x:c r="D24" s="21"/>
      <x:c r="E24" s="21"/>
      <x:c r="F24" s="21"/>
      <x:c r="G24" s="21"/>
      <x:c r="H24" s="21"/>
    </x:row>
    <x:row r="25" ht="28" customHeight="1">
      <x:c r="A25" s="21"/>
      <x:c r="B25" s="21"/>
      <x:c r="C25" s="21"/>
      <x:c r="D25" s="21"/>
      <x:c r="E25" s="21"/>
      <x:c r="F25" s="21"/>
      <x:c r="G25" s="21"/>
      <x:c r="H25" s="21"/>
    </x:row>
  </x:sheetData>
  <x:mergeCells>
    <x:mergeCell ref="A1:H2"/>
    <x:mergeCell ref="A3:H3"/>
    <x:mergeCell ref="A24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7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4" t="str">
        <x:v>MODEL PARAMETRELERİ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5" customHeight="1">
      <x:c r="A3" s="9" t="str">
        <x:v>Sarı hücreler düzenlenebilir; hesaplamalar otomatik güncellenir.</x:v>
      </x:c>
      <x:c r="B3" s="9"/>
      <x:c r="C3" s="9"/>
      <x:c r="D3" s="9"/>
      <x:c r="E3" s="9"/>
      <x:c r="F3" s="9"/>
    </x:row>
    <x:row r="5" ht="30" customHeight="1">
      <x:c r="A5" s="15" t="str">
        <x:v>Parametre</x:v>
      </x:c>
      <x:c r="B5" s="15" t="str">
        <x:v>Değer</x:v>
      </x:c>
      <x:c r="C5" s="15" t="str">
        <x:v>Açıklama</x:v>
      </x:c>
    </x:row>
    <x:row r="6">
      <x:c r="A6" t="str">
        <x:v>Öğrenme oranı (η)</x:v>
      </x:c>
      <x:c r="B6" s="24" t="n">
        <x:v>0.2</x:v>
      </x:c>
      <x:c r="C6" t="str">
        <x:v>Hatalı örneklerde güncelleme büyüklüğü.</x:v>
      </x:c>
    </x:row>
    <x:row r="7">
      <x:c r="A7" t="str">
        <x:v>Başlangıç w1</x:v>
      </x:c>
      <x:c r="B7" s="24" t="n">
        <x:v>0</x:v>
      </x:c>
      <x:c r="C7" t="str">
        <x:v>İlk girişin başlangıç ağırlığı.</x:v>
      </x:c>
    </x:row>
    <x:row r="8">
      <x:c r="A8" t="str">
        <x:v>Başlangıç w2</x:v>
      </x:c>
      <x:c r="B8" s="24" t="n">
        <x:v>0</x:v>
      </x:c>
      <x:c r="C8" t="str">
        <x:v>İkinci girişin başlangıç ağırlığı.</x:v>
      </x:c>
    </x:row>
    <x:row r="9">
      <x:c r="A9" t="str">
        <x:v>Başlangıç bias</x:v>
      </x:c>
      <x:c r="B9" s="24" t="n">
        <x:v>0</x:v>
      </x:c>
      <x:c r="C9" t="str">
        <x:v>Net toplamın sabit terimi.</x:v>
      </x:c>
    </x:row>
    <x:row r="10">
      <x:c r="A10" t="str">
        <x:v>Epoch sayısı</x:v>
      </x:c>
      <x:c r="B10" s="26" t="n">
        <x:v>20</x:v>
      </x:c>
      <x:c r="C10" t="str">
        <x:v>Çalışma 20 epoch / 80 adım üzerinden kurulmuştur; bu alan bilgilendirme amaçlı sabittir.</x:v>
      </x:c>
    </x:row>
    <x:row r="11">
      <x:c r="A11" t="str">
        <x:v>Epoch başına örnek</x:v>
      </x:c>
      <x:c r="B11" s="26" t="n">
        <x:v>4</x:v>
      </x:c>
      <x:c r="C11" t="str">
        <x:v>Dört bipolar AND örneği, her epoch'ta aynı sırayla işlenir.</x:v>
      </x:c>
    </x:row>
    <x:row r="15" ht="24" customHeight="1">
      <x:c r="A15" s="13" t="str">
        <x:v>ÖĞRENME KURALI</x:v>
      </x:c>
    </x:row>
    <x:row r="16">
      <x:c r="A16" t="str">
        <x:v>Tahmin</x:v>
      </x:c>
      <x:c r="B16" t="str">
        <x:v>ŷ = +1, net ≥ 0; aksi halde −1</x:v>
      </x:c>
      <x:c r="C16" t="str">
        <x:v>Net = w1·x1 + w2·x2 + b</x:v>
      </x:c>
    </x:row>
    <x:row r="17">
      <x:c r="A17" t="str">
        <x:v>Hata bayrağı</x:v>
      </x:c>
      <x:c r="B17" t="str">
        <x:v>Hedef ile tahmin farklıysa 1; aynıysa 0</x:v>
      </x:c>
      <x:c r="C17" t="str">
        <x:v>Güncelleme yalnız hatalı tahminde gerçekleşir.</x:v>
      </x:c>
    </x:row>
    <x:row r="18">
      <x:c r="A18" t="str">
        <x:v>w1 yeni</x:v>
      </x:c>
      <x:c r="B18" t="str">
        <x:v>w1 eski + η·t·x1·I(hata)</x:v>
      </x:c>
      <x:c r="C18" t="str">
        <x:v>İkili bipolar Perceptron kuralı</x:v>
      </x:c>
    </x:row>
    <x:row r="19">
      <x:c r="A19" t="str">
        <x:v>w2 yeni</x:v>
      </x:c>
      <x:c r="B19" t="str">
        <x:v>w2 eski + η·t·x2·I(hata)</x:v>
      </x:c>
      <x:c r="C19" t="str"/>
    </x:row>
    <x:row r="20">
      <x:c r="A20" t="str">
        <x:v>b yeni</x:v>
      </x:c>
      <x:c r="B20" t="str">
        <x:v>b eski + η·t·I(hata)</x:v>
      </x:c>
      <x:c r="C20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8" hidden="0" customWidth="1"/>
    <x:col min="5" max="5" width="42" hidden="0" customWidth="1"/>
  </x:cols>
  <x:sheetData>
    <x:row r="1" ht="24" customHeight="1">
      <x:c r="A1" s="4" t="str">
        <x:v>BİPOLAR AND VERİ KÜMESİ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9" t="str">
        <x:v>−1 = yanlış / pasif, +1 = doğru / aktif • Giriş ve hedef değerleri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5" t="str">
        <x:v>Örnek</x:v>
      </x:c>
      <x:c r="B5" s="15" t="str">
        <x:v>x1</x:v>
      </x:c>
      <x:c r="C5" s="15" t="str">
        <x:v>x2</x:v>
      </x:c>
      <x:c r="D5" s="15" t="str">
        <x:v>Hedef t</x:v>
      </x:c>
      <x:c r="E5" s="15" t="str">
        <x:v>Mantık</x:v>
      </x:c>
    </x:row>
    <x:row r="6">
      <x:c r="A6" t="n">
        <x:v>1</x:v>
      </x:c>
      <x:c r="B6" t="n">
        <x:v>-1</x:v>
      </x:c>
      <x:c r="C6" t="n">
        <x:v>-1</x:v>
      </x:c>
      <x:c r="D6" t="n">
        <x:v>-1</x:v>
      </x:c>
      <x:c r="E6" t="str">
        <x:v>−1 AND −1 → −1</x:v>
      </x:c>
    </x:row>
    <x:row r="7">
      <x:c r="A7" t="n">
        <x:v>2</x:v>
      </x:c>
      <x:c r="B7" t="n">
        <x:v>-1</x:v>
      </x:c>
      <x:c r="C7" t="n">
        <x:v>1</x:v>
      </x:c>
      <x:c r="D7" t="n">
        <x:v>-1</x:v>
      </x:c>
      <x:c r="E7" t="str">
        <x:v>−1 AND +1 → −1</x:v>
      </x:c>
    </x:row>
    <x:row r="8">
      <x:c r="A8" t="n">
        <x:v>3</x:v>
      </x:c>
      <x:c r="B8" t="n">
        <x:v>1</x:v>
      </x:c>
      <x:c r="C8" t="n">
        <x:v>-1</x:v>
      </x:c>
      <x:c r="D8" t="n">
        <x:v>-1</x:v>
      </x:c>
      <x:c r="E8" t="str">
        <x:v>+1 AND −1 → −1</x:v>
      </x:c>
    </x:row>
    <x:row r="9">
      <x:c r="A9" t="n">
        <x:v>4</x:v>
      </x:c>
      <x:c r="B9" t="n">
        <x:v>1</x:v>
      </x:c>
      <x:c r="C9" t="n">
        <x:v>1</x:v>
      </x:c>
      <x:c r="D9" t="n">
        <x:v>1</x:v>
      </x:c>
      <x:c r="E9" t="str">
        <x:v>+1 AND +1 → +1</x:v>
      </x:c>
    </x:row>
    <x:row r="13">
      <x:c r="A13" s="28" t="str">
        <x:v>Bipolar AND veri kümesi doğrusal olarak ayrılabilir. Sınıflandırma için ağırlıkların hata oldukça güncellenmesi yeterlidir. İlk örnekten önce modelin tahmini, net=0 için +1 kabul edilir.</x:v>
      </x:c>
      <x:c r="B13" s="28"/>
      <x:c r="C13" s="28"/>
      <x:c r="D13" s="28"/>
      <x:c r="E13" s="28"/>
    </x:row>
    <x:row r="14">
      <x:c r="A14" s="28"/>
      <x:c r="B14" s="28"/>
      <x:c r="C14" s="28"/>
      <x:c r="D14" s="28"/>
      <x:c r="E14" s="28"/>
    </x:row>
    <x:row r="15">
      <x:c r="A15" s="28"/>
      <x:c r="B15" s="28"/>
      <x:c r="C15" s="28"/>
      <x:c r="D15" s="28"/>
      <x:c r="E15" s="28"/>
    </x:row>
  </x:sheetData>
  <x:mergeCells>
    <x:mergeCell ref="A1:H2"/>
    <x:mergeCell ref="A3:H3"/>
    <x:mergeCell ref="A13:E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</x:cols>
  <x:sheetData>
    <x:row r="1" ht="24" customHeight="1">
      <x:c r="A1" s="4" t="str">
        <x:v>PERCEPTRON | ADIM ADIM EĞİTİM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5" customHeight="1">
      <x:c r="A3" s="9" t="str">
        <x:v>Her satırda giriş → net → sınıf tahmini → hata → ağırlık güncellemesi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30" customHeight="1">
      <x:c r="A5" s="15" t="str">
        <x:v>Adım</x:v>
      </x:c>
      <x:c r="B5" s="15" t="str">
        <x:v>Epoch</x:v>
      </x:c>
      <x:c r="C5" s="15" t="str">
        <x:v>Örnek</x:v>
      </x:c>
      <x:c r="D5" s="15" t="str">
        <x:v>x1</x:v>
      </x:c>
      <x:c r="E5" s="15" t="str">
        <x:v>x2</x:v>
      </x:c>
      <x:c r="F5" s="15" t="str">
        <x:v>Hedef t</x:v>
      </x:c>
      <x:c r="G5" s="15" t="str">
        <x:v>w1 önce</x:v>
      </x:c>
      <x:c r="H5" s="15" t="str">
        <x:v>w2 önce</x:v>
      </x:c>
      <x:c r="I5" s="15" t="str">
        <x:v>b önce</x:v>
      </x:c>
      <x:c r="J5" s="15" t="str">
        <x:v>Net</x:v>
      </x:c>
      <x:c r="K5" s="15" t="str">
        <x:v>Tahmin ŷ</x:v>
      </x:c>
      <x:c r="L5" s="15" t="str">
        <x:v>Hata? 1/0</x:v>
      </x:c>
      <x:c r="M5" s="15" t="str">
        <x:v>w1 sonra</x:v>
      </x:c>
      <x:c r="N5" s="15" t="str">
        <x:v>w2 sonra</x:v>
      </x:c>
      <x:c r="O5" s="15" t="str">
        <x:v>b sonra</x:v>
      </x:c>
      <x:c r="P5" s="15" t="str">
        <x:v>Doğru? 1/0</x:v>
      </x:c>
    </x:row>
    <x:row r="6">
      <x:c r="A6" t="n">
        <x:f>1</x:f>
        <x:v>1</x:v>
      </x:c>
      <x:c r="B6" t="n">
        <x:f>INT((A6-1)/'Parametreler'!$B$11)+1</x:f>
        <x:v>1</x:v>
      </x:c>
      <x:c r="C6" t="n">
        <x:f>MOD(A6-1,'Parametreler'!$B$11)+1</x:f>
        <x:v>1</x:v>
      </x:c>
      <x:c r="D6" t="n">
        <x:f>INDEX('Veri Kümesi'!$B$6:$B$9,C6)</x:f>
        <x:v>-1</x:v>
      </x:c>
      <x:c r="E6" t="n">
        <x:f>INDEX('Veri Kümesi'!$C$6:$C$9,C6)</x:f>
        <x:v>-1</x:v>
      </x:c>
      <x:c r="F6" t="n">
        <x:f>INDEX('Veri Kümesi'!$D$6:$D$9,C6)</x:f>
        <x:v>-1</x:v>
      </x:c>
      <x:c r="G6" s="30" t="n">
        <x:f>'Parametreler'!$B$7</x:f>
        <x:v>0</x:v>
      </x:c>
      <x:c r="H6" s="30" t="n">
        <x:f>'Parametreler'!$B$8</x:f>
        <x:v>0</x:v>
      </x:c>
      <x:c r="I6" s="30" t="n">
        <x:f>'Parametreler'!$B$9</x:f>
        <x:v>0</x:v>
      </x:c>
      <x:c r="J6" s="30" t="n">
        <x:f>G6*D6+H6*E6+I6</x:f>
        <x:v>0</x:v>
      </x:c>
      <x:c r="K6" s="30" t="n">
        <x:f>IF(J6&gt;=0,1,-1)</x:f>
        <x:v>1</x:v>
      </x:c>
      <x:c r="L6" s="30" t="n">
        <x:f>IF(K6=F6,0,1)</x:f>
        <x:v>1</x:v>
      </x:c>
      <x:c r="M6" s="30" t="n">
        <x:f>G6+'Parametreler'!$B$6*F6*D6*L6</x:f>
        <x:v>0.2</x:v>
      </x:c>
      <x:c r="N6" s="30" t="n">
        <x:f>H6+'Parametreler'!$B$6*F6*E6*L6</x:f>
        <x:v>0.2</x:v>
      </x:c>
      <x:c r="O6" s="30" t="n">
        <x:f>I6+'Parametreler'!$B$6*F6*L6</x:f>
        <x:v>-0.2</x:v>
      </x:c>
      <x:c r="P6" t="n">
        <x:f>1-L6</x:f>
        <x:v>0</x:v>
      </x:c>
    </x:row>
    <x:row r="7">
      <x:c r="A7" t="n">
        <x:f>2</x:f>
        <x:v>2</x:v>
      </x:c>
      <x:c r="B7" t="n">
        <x:f>INT((A7-1)/'Parametreler'!$B$11)+1</x:f>
        <x:v>1</x:v>
      </x:c>
      <x:c r="C7" t="n">
        <x:f>MOD(A7-1,'Parametreler'!$B$11)+1</x:f>
        <x:v>2</x:v>
      </x:c>
      <x:c r="D7" t="n">
        <x:f>INDEX('Veri Kümesi'!$B$6:$B$9,C7)</x:f>
        <x:v>-1</x:v>
      </x:c>
      <x:c r="E7" t="n">
        <x:f>INDEX('Veri Kümesi'!$C$6:$C$9,C7)</x:f>
        <x:v>1</x:v>
      </x:c>
      <x:c r="F7" t="n">
        <x:f>INDEX('Veri Kümesi'!$D$6:$D$9,C7)</x:f>
        <x:v>-1</x:v>
      </x:c>
      <x:c r="G7" s="30" t="n">
        <x:f>M6</x:f>
        <x:v>0.2</x:v>
      </x:c>
      <x:c r="H7" s="30" t="n">
        <x:f>N6</x:f>
        <x:v>0.2</x:v>
      </x:c>
      <x:c r="I7" s="30" t="n">
        <x:f>O6</x:f>
        <x:v>-0.2</x:v>
      </x:c>
      <x:c r="J7" s="30" t="n">
        <x:f>G7*D7+H7*E7+I7</x:f>
        <x:v>-0.2</x:v>
      </x:c>
      <x:c r="K7" s="30" t="n">
        <x:f>IF(J7&gt;=0,1,-1)</x:f>
        <x:v>-1</x:v>
      </x:c>
      <x:c r="L7" s="30" t="n">
        <x:f>IF(K7=F7,0,1)</x:f>
        <x:v>0</x:v>
      </x:c>
      <x:c r="M7" s="30" t="n">
        <x:f>G7+'Parametreler'!$B$6*F7*D7*L7</x:f>
        <x:v>0.2</x:v>
      </x:c>
      <x:c r="N7" s="30" t="n">
        <x:f>H7+'Parametreler'!$B$6*F7*E7*L7</x:f>
        <x:v>0.2</x:v>
      </x:c>
      <x:c r="O7" s="30" t="n">
        <x:f>I7+'Parametreler'!$B$6*F7*L7</x:f>
        <x:v>-0.2</x:v>
      </x:c>
      <x:c r="P7" t="n">
        <x:f>1-L7</x:f>
        <x:v>1</x:v>
      </x:c>
    </x:row>
    <x:row r="8">
      <x:c r="A8" t="n">
        <x:f>3</x:f>
        <x:v>3</x:v>
      </x:c>
      <x:c r="B8" t="n">
        <x:f>INT((A8-1)/'Parametreler'!$B$11)+1</x:f>
        <x:v>1</x:v>
      </x:c>
      <x:c r="C8" t="n">
        <x:f>MOD(A8-1,'Parametreler'!$B$11)+1</x:f>
        <x:v>3</x:v>
      </x:c>
      <x:c r="D8" t="n">
        <x:f>INDEX('Veri Kümesi'!$B$6:$B$9,C8)</x:f>
        <x:v>1</x:v>
      </x:c>
      <x:c r="E8" t="n">
        <x:f>INDEX('Veri Kümesi'!$C$6:$C$9,C8)</x:f>
        <x:v>-1</x:v>
      </x:c>
      <x:c r="F8" t="n">
        <x:f>INDEX('Veri Kümesi'!$D$6:$D$9,C8)</x:f>
        <x:v>-1</x:v>
      </x:c>
      <x:c r="G8" s="30" t="n">
        <x:f>M7</x:f>
        <x:v>0.2</x:v>
      </x:c>
      <x:c r="H8" s="30" t="n">
        <x:f>N7</x:f>
        <x:v>0.2</x:v>
      </x:c>
      <x:c r="I8" s="30" t="n">
        <x:f>O7</x:f>
        <x:v>-0.2</x:v>
      </x:c>
      <x:c r="J8" s="30" t="n">
        <x:f>G8*D8+H8*E8+I8</x:f>
        <x:v>-0.2</x:v>
      </x:c>
      <x:c r="K8" s="30" t="n">
        <x:f>IF(J8&gt;=0,1,-1)</x:f>
        <x:v>-1</x:v>
      </x:c>
      <x:c r="L8" s="30" t="n">
        <x:f>IF(K8=F8,0,1)</x:f>
        <x:v>0</x:v>
      </x:c>
      <x:c r="M8" s="30" t="n">
        <x:f>G8+'Parametreler'!$B$6*F8*D8*L8</x:f>
        <x:v>0.2</x:v>
      </x:c>
      <x:c r="N8" s="30" t="n">
        <x:f>H8+'Parametreler'!$B$6*F8*E8*L8</x:f>
        <x:v>0.2</x:v>
      </x:c>
      <x:c r="O8" s="30" t="n">
        <x:f>I8+'Parametreler'!$B$6*F8*L8</x:f>
        <x:v>-0.2</x:v>
      </x:c>
      <x:c r="P8" t="n">
        <x:f>1-L8</x:f>
        <x:v>1</x:v>
      </x:c>
    </x:row>
    <x:row r="9">
      <x:c r="A9" t="n">
        <x:f>4</x:f>
        <x:v>4</x:v>
      </x:c>
      <x:c r="B9" t="n">
        <x:f>INT((A9-1)/'Parametreler'!$B$11)+1</x:f>
        <x:v>1</x:v>
      </x:c>
      <x:c r="C9" t="n">
        <x:f>MOD(A9-1,'Parametreler'!$B$11)+1</x:f>
        <x:v>4</x:v>
      </x:c>
      <x:c r="D9" t="n">
        <x:f>INDEX('Veri Kümesi'!$B$6:$B$9,C9)</x:f>
        <x:v>1</x:v>
      </x:c>
      <x:c r="E9" t="n">
        <x:f>INDEX('Veri Kümesi'!$C$6:$C$9,C9)</x:f>
        <x:v>1</x:v>
      </x:c>
      <x:c r="F9" t="n">
        <x:f>INDEX('Veri Kümesi'!$D$6:$D$9,C9)</x:f>
        <x:v>1</x:v>
      </x:c>
      <x:c r="G9" s="30" t="n">
        <x:f>M8</x:f>
        <x:v>0.2</x:v>
      </x:c>
      <x:c r="H9" s="30" t="n">
        <x:f>N8</x:f>
        <x:v>0.2</x:v>
      </x:c>
      <x:c r="I9" s="30" t="n">
        <x:f>O8</x:f>
        <x:v>-0.2</x:v>
      </x:c>
      <x:c r="J9" s="30" t="n">
        <x:f>G9*D9+H9*E9+I9</x:f>
        <x:v>0.2</x:v>
      </x:c>
      <x:c r="K9" s="30" t="n">
        <x:f>IF(J9&gt;=0,1,-1)</x:f>
        <x:v>1</x:v>
      </x:c>
      <x:c r="L9" s="30" t="n">
        <x:f>IF(K9=F9,0,1)</x:f>
        <x:v>0</x:v>
      </x:c>
      <x:c r="M9" s="30" t="n">
        <x:f>G9+'Parametreler'!$B$6*F9*D9*L9</x:f>
        <x:v>0.2</x:v>
      </x:c>
      <x:c r="N9" s="30" t="n">
        <x:f>H9+'Parametreler'!$B$6*F9*E9*L9</x:f>
        <x:v>0.2</x:v>
      </x:c>
      <x:c r="O9" s="30" t="n">
        <x:f>I9+'Parametreler'!$B$6*F9*L9</x:f>
        <x:v>-0.2</x:v>
      </x:c>
      <x:c r="P9" t="n">
        <x:f>1-L9</x:f>
        <x:v>1</x:v>
      </x:c>
    </x:row>
    <x:row r="10">
      <x:c r="A10" t="n">
        <x:f>5</x:f>
        <x:v>5</x:v>
      </x:c>
      <x:c r="B10" t="n">
        <x:f>INT((A10-1)/'Parametreler'!$B$11)+1</x:f>
        <x:v>2</x:v>
      </x:c>
      <x:c r="C10" t="n">
        <x:f>MOD(A10-1,'Parametreler'!$B$11)+1</x:f>
        <x:v>1</x:v>
      </x:c>
      <x:c r="D10" t="n">
        <x:f>INDEX('Veri Kümesi'!$B$6:$B$9,C10)</x:f>
        <x:v>-1</x:v>
      </x:c>
      <x:c r="E10" t="n">
        <x:f>INDEX('Veri Kümesi'!$C$6:$C$9,C10)</x:f>
        <x:v>-1</x:v>
      </x:c>
      <x:c r="F10" t="n">
        <x:f>INDEX('Veri Kümesi'!$D$6:$D$9,C10)</x:f>
        <x:v>-1</x:v>
      </x:c>
      <x:c r="G10" s="30" t="n">
        <x:f>M9</x:f>
        <x:v>0.2</x:v>
      </x:c>
      <x:c r="H10" s="30" t="n">
        <x:f>N9</x:f>
        <x:v>0.2</x:v>
      </x:c>
      <x:c r="I10" s="30" t="n">
        <x:f>O9</x:f>
        <x:v>-0.2</x:v>
      </x:c>
      <x:c r="J10" s="30" t="n">
        <x:f>G10*D10+H10*E10+I10</x:f>
        <x:v>-0.6000000000000001</x:v>
      </x:c>
      <x:c r="K10" s="30" t="n">
        <x:f>IF(J10&gt;=0,1,-1)</x:f>
        <x:v>-1</x:v>
      </x:c>
      <x:c r="L10" s="30" t="n">
        <x:f>IF(K10=F10,0,1)</x:f>
        <x:v>0</x:v>
      </x:c>
      <x:c r="M10" s="30" t="n">
        <x:f>G10+'Parametreler'!$B$6*F10*D10*L10</x:f>
        <x:v>0.2</x:v>
      </x:c>
      <x:c r="N10" s="30" t="n">
        <x:f>H10+'Parametreler'!$B$6*F10*E10*L10</x:f>
        <x:v>0.2</x:v>
      </x:c>
      <x:c r="O10" s="30" t="n">
        <x:f>I10+'Parametreler'!$B$6*F10*L10</x:f>
        <x:v>-0.2</x:v>
      </x:c>
      <x:c r="P10" t="n">
        <x:f>1-L10</x:f>
        <x:v>1</x:v>
      </x:c>
    </x:row>
    <x:row r="11">
      <x:c r="A11" t="n">
        <x:f>6</x:f>
        <x:v>6</x:v>
      </x:c>
      <x:c r="B11" t="n">
        <x:f>INT((A11-1)/'Parametreler'!$B$11)+1</x:f>
        <x:v>2</x:v>
      </x:c>
      <x:c r="C11" t="n">
        <x:f>MOD(A11-1,'Parametreler'!$B$11)+1</x:f>
        <x:v>2</x:v>
      </x:c>
      <x:c r="D11" t="n">
        <x:f>INDEX('Veri Kümesi'!$B$6:$B$9,C11)</x:f>
        <x:v>-1</x:v>
      </x:c>
      <x:c r="E11" t="n">
        <x:f>INDEX('Veri Kümesi'!$C$6:$C$9,C11)</x:f>
        <x:v>1</x:v>
      </x:c>
      <x:c r="F11" t="n">
        <x:f>INDEX('Veri Kümesi'!$D$6:$D$9,C11)</x:f>
        <x:v>-1</x:v>
      </x:c>
      <x:c r="G11" s="30" t="n">
        <x:f>M10</x:f>
        <x:v>0.2</x:v>
      </x:c>
      <x:c r="H11" s="30" t="n">
        <x:f>N10</x:f>
        <x:v>0.2</x:v>
      </x:c>
      <x:c r="I11" s="30" t="n">
        <x:f>O10</x:f>
        <x:v>-0.2</x:v>
      </x:c>
      <x:c r="J11" s="30" t="n">
        <x:f>G11*D11+H11*E11+I11</x:f>
        <x:v>-0.2</x:v>
      </x:c>
      <x:c r="K11" s="30" t="n">
        <x:f>IF(J11&gt;=0,1,-1)</x:f>
        <x:v>-1</x:v>
      </x:c>
      <x:c r="L11" s="30" t="n">
        <x:f>IF(K11=F11,0,1)</x:f>
        <x:v>0</x:v>
      </x:c>
      <x:c r="M11" s="30" t="n">
        <x:f>G11+'Parametreler'!$B$6*F11*D11*L11</x:f>
        <x:v>0.2</x:v>
      </x:c>
      <x:c r="N11" s="30" t="n">
        <x:f>H11+'Parametreler'!$B$6*F11*E11*L11</x:f>
        <x:v>0.2</x:v>
      </x:c>
      <x:c r="O11" s="30" t="n">
        <x:f>I11+'Parametreler'!$B$6*F11*L11</x:f>
        <x:v>-0.2</x:v>
      </x:c>
      <x:c r="P11" t="n">
        <x:f>1-L11</x:f>
        <x:v>1</x:v>
      </x:c>
    </x:row>
    <x:row r="12">
      <x:c r="A12" t="n">
        <x:f>7</x:f>
        <x:v>7</x:v>
      </x:c>
      <x:c r="B12" t="n">
        <x:f>INT((A12-1)/'Parametreler'!$B$11)+1</x:f>
        <x:v>2</x:v>
      </x:c>
      <x:c r="C12" t="n">
        <x:f>MOD(A12-1,'Parametreler'!$B$11)+1</x:f>
        <x:v>3</x:v>
      </x:c>
      <x:c r="D12" t="n">
        <x:f>INDEX('Veri Kümesi'!$B$6:$B$9,C12)</x:f>
        <x:v>1</x:v>
      </x:c>
      <x:c r="E12" t="n">
        <x:f>INDEX('Veri Kümesi'!$C$6:$C$9,C12)</x:f>
        <x:v>-1</x:v>
      </x:c>
      <x:c r="F12" t="n">
        <x:f>INDEX('Veri Kümesi'!$D$6:$D$9,C12)</x:f>
        <x:v>-1</x:v>
      </x:c>
      <x:c r="G12" s="30" t="n">
        <x:f>M11</x:f>
        <x:v>0.2</x:v>
      </x:c>
      <x:c r="H12" s="30" t="n">
        <x:f>N11</x:f>
        <x:v>0.2</x:v>
      </x:c>
      <x:c r="I12" s="30" t="n">
        <x:f>O11</x:f>
        <x:v>-0.2</x:v>
      </x:c>
      <x:c r="J12" s="30" t="n">
        <x:f>G12*D12+H12*E12+I12</x:f>
        <x:v>-0.2</x:v>
      </x:c>
      <x:c r="K12" s="30" t="n">
        <x:f>IF(J12&gt;=0,1,-1)</x:f>
        <x:v>-1</x:v>
      </x:c>
      <x:c r="L12" s="30" t="n">
        <x:f>IF(K12=F12,0,1)</x:f>
        <x:v>0</x:v>
      </x:c>
      <x:c r="M12" s="30" t="n">
        <x:f>G12+'Parametreler'!$B$6*F12*D12*L12</x:f>
        <x:v>0.2</x:v>
      </x:c>
      <x:c r="N12" s="30" t="n">
        <x:f>H12+'Parametreler'!$B$6*F12*E12*L12</x:f>
        <x:v>0.2</x:v>
      </x:c>
      <x:c r="O12" s="30" t="n">
        <x:f>I12+'Parametreler'!$B$6*F12*L12</x:f>
        <x:v>-0.2</x:v>
      </x:c>
      <x:c r="P12" t="n">
        <x:f>1-L12</x:f>
        <x:v>1</x:v>
      </x:c>
    </x:row>
    <x:row r="13">
      <x:c r="A13" t="n">
        <x:f>8</x:f>
        <x:v>8</x:v>
      </x:c>
      <x:c r="B13" t="n">
        <x:f>INT((A13-1)/'Parametreler'!$B$11)+1</x:f>
        <x:v>2</x:v>
      </x:c>
      <x:c r="C13" t="n">
        <x:f>MOD(A13-1,'Parametreler'!$B$11)+1</x:f>
        <x:v>4</x:v>
      </x:c>
      <x:c r="D13" t="n">
        <x:f>INDEX('Veri Kümesi'!$B$6:$B$9,C13)</x:f>
        <x:v>1</x:v>
      </x:c>
      <x:c r="E13" t="n">
        <x:f>INDEX('Veri Kümesi'!$C$6:$C$9,C13)</x:f>
        <x:v>1</x:v>
      </x:c>
      <x:c r="F13" t="n">
        <x:f>INDEX('Veri Kümesi'!$D$6:$D$9,C13)</x:f>
        <x:v>1</x:v>
      </x:c>
      <x:c r="G13" s="30" t="n">
        <x:f>M12</x:f>
        <x:v>0.2</x:v>
      </x:c>
      <x:c r="H13" s="30" t="n">
        <x:f>N12</x:f>
        <x:v>0.2</x:v>
      </x:c>
      <x:c r="I13" s="30" t="n">
        <x:f>O12</x:f>
        <x:v>-0.2</x:v>
      </x:c>
      <x:c r="J13" s="30" t="n">
        <x:f>G13*D13+H13*E13+I13</x:f>
        <x:v>0.2</x:v>
      </x:c>
      <x:c r="K13" s="30" t="n">
        <x:f>IF(J13&gt;=0,1,-1)</x:f>
        <x:v>1</x:v>
      </x:c>
      <x:c r="L13" s="30" t="n">
        <x:f>IF(K13=F13,0,1)</x:f>
        <x:v>0</x:v>
      </x:c>
      <x:c r="M13" s="30" t="n">
        <x:f>G13+'Parametreler'!$B$6*F13*D13*L13</x:f>
        <x:v>0.2</x:v>
      </x:c>
      <x:c r="N13" s="30" t="n">
        <x:f>H13+'Parametreler'!$B$6*F13*E13*L13</x:f>
        <x:v>0.2</x:v>
      </x:c>
      <x:c r="O13" s="30" t="n">
        <x:f>I13+'Parametreler'!$B$6*F13*L13</x:f>
        <x:v>-0.2</x:v>
      </x:c>
      <x:c r="P13" t="n">
        <x:f>1-L13</x:f>
        <x:v>1</x:v>
      </x:c>
    </x:row>
    <x:row r="14">
      <x:c r="A14" t="n">
        <x:f>9</x:f>
        <x:v>9</x:v>
      </x:c>
      <x:c r="B14" t="n">
        <x:f>INT((A14-1)/'Parametreler'!$B$11)+1</x:f>
        <x:v>3</x:v>
      </x:c>
      <x:c r="C14" t="n">
        <x:f>MOD(A14-1,'Parametreler'!$B$11)+1</x:f>
        <x:v>1</x:v>
      </x:c>
      <x:c r="D14" t="n">
        <x:f>INDEX('Veri Kümesi'!$B$6:$B$9,C14)</x:f>
        <x:v>-1</x:v>
      </x:c>
      <x:c r="E14" t="n">
        <x:f>INDEX('Veri Kümesi'!$C$6:$C$9,C14)</x:f>
        <x:v>-1</x:v>
      </x:c>
      <x:c r="F14" t="n">
        <x:f>INDEX('Veri Kümesi'!$D$6:$D$9,C14)</x:f>
        <x:v>-1</x:v>
      </x:c>
      <x:c r="G14" s="30" t="n">
        <x:f>M13</x:f>
        <x:v>0.2</x:v>
      </x:c>
      <x:c r="H14" s="30" t="n">
        <x:f>N13</x:f>
        <x:v>0.2</x:v>
      </x:c>
      <x:c r="I14" s="30" t="n">
        <x:f>O13</x:f>
        <x:v>-0.2</x:v>
      </x:c>
      <x:c r="J14" s="30" t="n">
        <x:f>G14*D14+H14*E14+I14</x:f>
        <x:v>-0.6000000000000001</x:v>
      </x:c>
      <x:c r="K14" s="30" t="n">
        <x:f>IF(J14&gt;=0,1,-1)</x:f>
        <x:v>-1</x:v>
      </x:c>
      <x:c r="L14" s="30" t="n">
        <x:f>IF(K14=F14,0,1)</x:f>
        <x:v>0</x:v>
      </x:c>
      <x:c r="M14" s="30" t="n">
        <x:f>G14+'Parametreler'!$B$6*F14*D14*L14</x:f>
        <x:v>0.2</x:v>
      </x:c>
      <x:c r="N14" s="30" t="n">
        <x:f>H14+'Parametreler'!$B$6*F14*E14*L14</x:f>
        <x:v>0.2</x:v>
      </x:c>
      <x:c r="O14" s="30" t="n">
        <x:f>I14+'Parametreler'!$B$6*F14*L14</x:f>
        <x:v>-0.2</x:v>
      </x:c>
      <x:c r="P14" t="n">
        <x:f>1-L14</x:f>
        <x:v>1</x:v>
      </x:c>
    </x:row>
    <x:row r="15">
      <x:c r="A15" t="n">
        <x:f>10</x:f>
        <x:v>10</x:v>
      </x:c>
      <x:c r="B15" t="n">
        <x:f>INT((A15-1)/'Parametreler'!$B$11)+1</x:f>
        <x:v>3</x:v>
      </x:c>
      <x:c r="C15" t="n">
        <x:f>MOD(A15-1,'Parametreler'!$B$11)+1</x:f>
        <x:v>2</x:v>
      </x:c>
      <x:c r="D15" t="n">
        <x:f>INDEX('Veri Kümesi'!$B$6:$B$9,C15)</x:f>
        <x:v>-1</x:v>
      </x:c>
      <x:c r="E15" t="n">
        <x:f>INDEX('Veri Kümesi'!$C$6:$C$9,C15)</x:f>
        <x:v>1</x:v>
      </x:c>
      <x:c r="F15" t="n">
        <x:f>INDEX('Veri Kümesi'!$D$6:$D$9,C15)</x:f>
        <x:v>-1</x:v>
      </x:c>
      <x:c r="G15" s="30" t="n">
        <x:f>M14</x:f>
        <x:v>0.2</x:v>
      </x:c>
      <x:c r="H15" s="30" t="n">
        <x:f>N14</x:f>
        <x:v>0.2</x:v>
      </x:c>
      <x:c r="I15" s="30" t="n">
        <x:f>O14</x:f>
        <x:v>-0.2</x:v>
      </x:c>
      <x:c r="J15" s="30" t="n">
        <x:f>G15*D15+H15*E15+I15</x:f>
        <x:v>-0.2</x:v>
      </x:c>
      <x:c r="K15" s="30" t="n">
        <x:f>IF(J15&gt;=0,1,-1)</x:f>
        <x:v>-1</x:v>
      </x:c>
      <x:c r="L15" s="30" t="n">
        <x:f>IF(K15=F15,0,1)</x:f>
        <x:v>0</x:v>
      </x:c>
      <x:c r="M15" s="30" t="n">
        <x:f>G15+'Parametreler'!$B$6*F15*D15*L15</x:f>
        <x:v>0.2</x:v>
      </x:c>
      <x:c r="N15" s="30" t="n">
        <x:f>H15+'Parametreler'!$B$6*F15*E15*L15</x:f>
        <x:v>0.2</x:v>
      </x:c>
      <x:c r="O15" s="30" t="n">
        <x:f>I15+'Parametreler'!$B$6*F15*L15</x:f>
        <x:v>-0.2</x:v>
      </x:c>
      <x:c r="P15" t="n">
        <x:f>1-L15</x:f>
        <x:v>1</x:v>
      </x:c>
    </x:row>
    <x:row r="16">
      <x:c r="A16" t="n">
        <x:f>11</x:f>
        <x:v>11</x:v>
      </x:c>
      <x:c r="B16" t="n">
        <x:f>INT((A16-1)/'Parametreler'!$B$11)+1</x:f>
        <x:v>3</x:v>
      </x:c>
      <x:c r="C16" t="n">
        <x:f>MOD(A16-1,'Parametreler'!$B$11)+1</x:f>
        <x:v>3</x:v>
      </x:c>
      <x:c r="D16" t="n">
        <x:f>INDEX('Veri Kümesi'!$B$6:$B$9,C16)</x:f>
        <x:v>1</x:v>
      </x:c>
      <x:c r="E16" t="n">
        <x:f>INDEX('Veri Kümesi'!$C$6:$C$9,C16)</x:f>
        <x:v>-1</x:v>
      </x:c>
      <x:c r="F16" t="n">
        <x:f>INDEX('Veri Kümesi'!$D$6:$D$9,C16)</x:f>
        <x:v>-1</x:v>
      </x:c>
      <x:c r="G16" s="30" t="n">
        <x:f>M15</x:f>
        <x:v>0.2</x:v>
      </x:c>
      <x:c r="H16" s="30" t="n">
        <x:f>N15</x:f>
        <x:v>0.2</x:v>
      </x:c>
      <x:c r="I16" s="30" t="n">
        <x:f>O15</x:f>
        <x:v>-0.2</x:v>
      </x:c>
      <x:c r="J16" s="30" t="n">
        <x:f>G16*D16+H16*E16+I16</x:f>
        <x:v>-0.2</x:v>
      </x:c>
      <x:c r="K16" s="30" t="n">
        <x:f>IF(J16&gt;=0,1,-1)</x:f>
        <x:v>-1</x:v>
      </x:c>
      <x:c r="L16" s="30" t="n">
        <x:f>IF(K16=F16,0,1)</x:f>
        <x:v>0</x:v>
      </x:c>
      <x:c r="M16" s="30" t="n">
        <x:f>G16+'Parametreler'!$B$6*F16*D16*L16</x:f>
        <x:v>0.2</x:v>
      </x:c>
      <x:c r="N16" s="30" t="n">
        <x:f>H16+'Parametreler'!$B$6*F16*E16*L16</x:f>
        <x:v>0.2</x:v>
      </x:c>
      <x:c r="O16" s="30" t="n">
        <x:f>I16+'Parametreler'!$B$6*F16*L16</x:f>
        <x:v>-0.2</x:v>
      </x:c>
      <x:c r="P16" t="n">
        <x:f>1-L16</x:f>
        <x:v>1</x:v>
      </x:c>
    </x:row>
    <x:row r="17">
      <x:c r="A17" t="n">
        <x:f>12</x:f>
        <x:v>12</x:v>
      </x:c>
      <x:c r="B17" t="n">
        <x:f>INT((A17-1)/'Parametreler'!$B$11)+1</x:f>
        <x:v>3</x:v>
      </x:c>
      <x:c r="C17" t="n">
        <x:f>MOD(A17-1,'Parametreler'!$B$11)+1</x:f>
        <x:v>4</x:v>
      </x:c>
      <x:c r="D17" t="n">
        <x:f>INDEX('Veri Kümesi'!$B$6:$B$9,C17)</x:f>
        <x:v>1</x:v>
      </x:c>
      <x:c r="E17" t="n">
        <x:f>INDEX('Veri Kümesi'!$C$6:$C$9,C17)</x:f>
        <x:v>1</x:v>
      </x:c>
      <x:c r="F17" t="n">
        <x:f>INDEX('Veri Kümesi'!$D$6:$D$9,C17)</x:f>
        <x:v>1</x:v>
      </x:c>
      <x:c r="G17" s="30" t="n">
        <x:f>M16</x:f>
        <x:v>0.2</x:v>
      </x:c>
      <x:c r="H17" s="30" t="n">
        <x:f>N16</x:f>
        <x:v>0.2</x:v>
      </x:c>
      <x:c r="I17" s="30" t="n">
        <x:f>O16</x:f>
        <x:v>-0.2</x:v>
      </x:c>
      <x:c r="J17" s="30" t="n">
        <x:f>G17*D17+H17*E17+I17</x:f>
        <x:v>0.2</x:v>
      </x:c>
      <x:c r="K17" s="30" t="n">
        <x:f>IF(J17&gt;=0,1,-1)</x:f>
        <x:v>1</x:v>
      </x:c>
      <x:c r="L17" s="30" t="n">
        <x:f>IF(K17=F17,0,1)</x:f>
        <x:v>0</x:v>
      </x:c>
      <x:c r="M17" s="30" t="n">
        <x:f>G17+'Parametreler'!$B$6*F17*D17*L17</x:f>
        <x:v>0.2</x:v>
      </x:c>
      <x:c r="N17" s="30" t="n">
        <x:f>H17+'Parametreler'!$B$6*F17*E17*L17</x:f>
        <x:v>0.2</x:v>
      </x:c>
      <x:c r="O17" s="30" t="n">
        <x:f>I17+'Parametreler'!$B$6*F17*L17</x:f>
        <x:v>-0.2</x:v>
      </x:c>
      <x:c r="P17" t="n">
        <x:f>1-L17</x:f>
        <x:v>1</x:v>
      </x:c>
    </x:row>
    <x:row r="18">
      <x:c r="A18" t="n">
        <x:f>13</x:f>
        <x:v>13</x:v>
      </x:c>
      <x:c r="B18" t="n">
        <x:f>INT((A18-1)/'Parametreler'!$B$11)+1</x:f>
        <x:v>4</x:v>
      </x:c>
      <x:c r="C18" t="n">
        <x:f>MOD(A18-1,'Parametreler'!$B$11)+1</x:f>
        <x:v>1</x:v>
      </x:c>
      <x:c r="D18" t="n">
        <x:f>INDEX('Veri Kümesi'!$B$6:$B$9,C18)</x:f>
        <x:v>-1</x:v>
      </x:c>
      <x:c r="E18" t="n">
        <x:f>INDEX('Veri Kümesi'!$C$6:$C$9,C18)</x:f>
        <x:v>-1</x:v>
      </x:c>
      <x:c r="F18" t="n">
        <x:f>INDEX('Veri Kümesi'!$D$6:$D$9,C18)</x:f>
        <x:v>-1</x:v>
      </x:c>
      <x:c r="G18" s="30" t="n">
        <x:f>M17</x:f>
        <x:v>0.2</x:v>
      </x:c>
      <x:c r="H18" s="30" t="n">
        <x:f>N17</x:f>
        <x:v>0.2</x:v>
      </x:c>
      <x:c r="I18" s="30" t="n">
        <x:f>O17</x:f>
        <x:v>-0.2</x:v>
      </x:c>
      <x:c r="J18" s="30" t="n">
        <x:f>G18*D18+H18*E18+I18</x:f>
        <x:v>-0.6000000000000001</x:v>
      </x:c>
      <x:c r="K18" s="30" t="n">
        <x:f>IF(J18&gt;=0,1,-1)</x:f>
        <x:v>-1</x:v>
      </x:c>
      <x:c r="L18" s="30" t="n">
        <x:f>IF(K18=F18,0,1)</x:f>
        <x:v>0</x:v>
      </x:c>
      <x:c r="M18" s="30" t="n">
        <x:f>G18+'Parametreler'!$B$6*F18*D18*L18</x:f>
        <x:v>0.2</x:v>
      </x:c>
      <x:c r="N18" s="30" t="n">
        <x:f>H18+'Parametreler'!$B$6*F18*E18*L18</x:f>
        <x:v>0.2</x:v>
      </x:c>
      <x:c r="O18" s="30" t="n">
        <x:f>I18+'Parametreler'!$B$6*F18*L18</x:f>
        <x:v>-0.2</x:v>
      </x:c>
      <x:c r="P18" t="n">
        <x:f>1-L18</x:f>
        <x:v>1</x:v>
      </x:c>
    </x:row>
    <x:row r="19">
      <x:c r="A19" t="n">
        <x:f>14</x:f>
        <x:v>14</x:v>
      </x:c>
      <x:c r="B19" t="n">
        <x:f>INT((A19-1)/'Parametreler'!$B$11)+1</x:f>
        <x:v>4</x:v>
      </x:c>
      <x:c r="C19" t="n">
        <x:f>MOD(A19-1,'Parametreler'!$B$11)+1</x:f>
        <x:v>2</x:v>
      </x:c>
      <x:c r="D19" t="n">
        <x:f>INDEX('Veri Kümesi'!$B$6:$B$9,C19)</x:f>
        <x:v>-1</x:v>
      </x:c>
      <x:c r="E19" t="n">
        <x:f>INDEX('Veri Kümesi'!$C$6:$C$9,C19)</x:f>
        <x:v>1</x:v>
      </x:c>
      <x:c r="F19" t="n">
        <x:f>INDEX('Veri Kümesi'!$D$6:$D$9,C19)</x:f>
        <x:v>-1</x:v>
      </x:c>
      <x:c r="G19" s="30" t="n">
        <x:f>M18</x:f>
        <x:v>0.2</x:v>
      </x:c>
      <x:c r="H19" s="30" t="n">
        <x:f>N18</x:f>
        <x:v>0.2</x:v>
      </x:c>
      <x:c r="I19" s="30" t="n">
        <x:f>O18</x:f>
        <x:v>-0.2</x:v>
      </x:c>
      <x:c r="J19" s="30" t="n">
        <x:f>G19*D19+H19*E19+I19</x:f>
        <x:v>-0.2</x:v>
      </x:c>
      <x:c r="K19" s="30" t="n">
        <x:f>IF(J19&gt;=0,1,-1)</x:f>
        <x:v>-1</x:v>
      </x:c>
      <x:c r="L19" s="30" t="n">
        <x:f>IF(K19=F19,0,1)</x:f>
        <x:v>0</x:v>
      </x:c>
      <x:c r="M19" s="30" t="n">
        <x:f>G19+'Parametreler'!$B$6*F19*D19*L19</x:f>
        <x:v>0.2</x:v>
      </x:c>
      <x:c r="N19" s="30" t="n">
        <x:f>H19+'Parametreler'!$B$6*F19*E19*L19</x:f>
        <x:v>0.2</x:v>
      </x:c>
      <x:c r="O19" s="30" t="n">
        <x:f>I19+'Parametreler'!$B$6*F19*L19</x:f>
        <x:v>-0.2</x:v>
      </x:c>
      <x:c r="P19" t="n">
        <x:f>1-L19</x:f>
        <x:v>1</x:v>
      </x:c>
    </x:row>
    <x:row r="20">
      <x:c r="A20" t="n">
        <x:f>15</x:f>
        <x:v>15</x:v>
      </x:c>
      <x:c r="B20" t="n">
        <x:f>INT((A20-1)/'Parametreler'!$B$11)+1</x:f>
        <x:v>4</x:v>
      </x:c>
      <x:c r="C20" t="n">
        <x:f>MOD(A20-1,'Parametreler'!$B$11)+1</x:f>
        <x:v>3</x:v>
      </x:c>
      <x:c r="D20" t="n">
        <x:f>INDEX('Veri Kümesi'!$B$6:$B$9,C20)</x:f>
        <x:v>1</x:v>
      </x:c>
      <x:c r="E20" t="n">
        <x:f>INDEX('Veri Kümesi'!$C$6:$C$9,C20)</x:f>
        <x:v>-1</x:v>
      </x:c>
      <x:c r="F20" t="n">
        <x:f>INDEX('Veri Kümesi'!$D$6:$D$9,C20)</x:f>
        <x:v>-1</x:v>
      </x:c>
      <x:c r="G20" s="30" t="n">
        <x:f>M19</x:f>
        <x:v>0.2</x:v>
      </x:c>
      <x:c r="H20" s="30" t="n">
        <x:f>N19</x:f>
        <x:v>0.2</x:v>
      </x:c>
      <x:c r="I20" s="30" t="n">
        <x:f>O19</x:f>
        <x:v>-0.2</x:v>
      </x:c>
      <x:c r="J20" s="30" t="n">
        <x:f>G20*D20+H20*E20+I20</x:f>
        <x:v>-0.2</x:v>
      </x:c>
      <x:c r="K20" s="30" t="n">
        <x:f>IF(J20&gt;=0,1,-1)</x:f>
        <x:v>-1</x:v>
      </x:c>
      <x:c r="L20" s="30" t="n">
        <x:f>IF(K20=F20,0,1)</x:f>
        <x:v>0</x:v>
      </x:c>
      <x:c r="M20" s="30" t="n">
        <x:f>G20+'Parametreler'!$B$6*F20*D20*L20</x:f>
        <x:v>0.2</x:v>
      </x:c>
      <x:c r="N20" s="30" t="n">
        <x:f>H20+'Parametreler'!$B$6*F20*E20*L20</x:f>
        <x:v>0.2</x:v>
      </x:c>
      <x:c r="O20" s="30" t="n">
        <x:f>I20+'Parametreler'!$B$6*F20*L20</x:f>
        <x:v>-0.2</x:v>
      </x:c>
      <x:c r="P20" t="n">
        <x:f>1-L20</x:f>
        <x:v>1</x:v>
      </x:c>
    </x:row>
    <x:row r="21">
      <x:c r="A21" t="n">
        <x:f>16</x:f>
        <x:v>16</x:v>
      </x:c>
      <x:c r="B21" t="n">
        <x:f>INT((A21-1)/'Parametreler'!$B$11)+1</x:f>
        <x:v>4</x:v>
      </x:c>
      <x:c r="C21" t="n">
        <x:f>MOD(A21-1,'Parametreler'!$B$11)+1</x:f>
        <x:v>4</x:v>
      </x:c>
      <x:c r="D21" t="n">
        <x:f>INDEX('Veri Kümesi'!$B$6:$B$9,C21)</x:f>
        <x:v>1</x:v>
      </x:c>
      <x:c r="E21" t="n">
        <x:f>INDEX('Veri Kümesi'!$C$6:$C$9,C21)</x:f>
        <x:v>1</x:v>
      </x:c>
      <x:c r="F21" t="n">
        <x:f>INDEX('Veri Kümesi'!$D$6:$D$9,C21)</x:f>
        <x:v>1</x:v>
      </x:c>
      <x:c r="G21" s="30" t="n">
        <x:f>M20</x:f>
        <x:v>0.2</x:v>
      </x:c>
      <x:c r="H21" s="30" t="n">
        <x:f>N20</x:f>
        <x:v>0.2</x:v>
      </x:c>
      <x:c r="I21" s="30" t="n">
        <x:f>O20</x:f>
        <x:v>-0.2</x:v>
      </x:c>
      <x:c r="J21" s="30" t="n">
        <x:f>G21*D21+H21*E21+I21</x:f>
        <x:v>0.2</x:v>
      </x:c>
      <x:c r="K21" s="30" t="n">
        <x:f>IF(J21&gt;=0,1,-1)</x:f>
        <x:v>1</x:v>
      </x:c>
      <x:c r="L21" s="30" t="n">
        <x:f>IF(K21=F21,0,1)</x:f>
        <x:v>0</x:v>
      </x:c>
      <x:c r="M21" s="30" t="n">
        <x:f>G21+'Parametreler'!$B$6*F21*D21*L21</x:f>
        <x:v>0.2</x:v>
      </x:c>
      <x:c r="N21" s="30" t="n">
        <x:f>H21+'Parametreler'!$B$6*F21*E21*L21</x:f>
        <x:v>0.2</x:v>
      </x:c>
      <x:c r="O21" s="30" t="n">
        <x:f>I21+'Parametreler'!$B$6*F21*L21</x:f>
        <x:v>-0.2</x:v>
      </x:c>
      <x:c r="P21" t="n">
        <x:f>1-L21</x:f>
        <x:v>1</x:v>
      </x:c>
    </x:row>
    <x:row r="22">
      <x:c r="A22" t="n">
        <x:f>17</x:f>
        <x:v>17</x:v>
      </x:c>
      <x:c r="B22" t="n">
        <x:f>INT((A22-1)/'Parametreler'!$B$11)+1</x:f>
        <x:v>5</x:v>
      </x:c>
      <x:c r="C22" t="n">
        <x:f>MOD(A22-1,'Parametreler'!$B$11)+1</x:f>
        <x:v>1</x:v>
      </x:c>
      <x:c r="D22" t="n">
        <x:f>INDEX('Veri Kümesi'!$B$6:$B$9,C22)</x:f>
        <x:v>-1</x:v>
      </x:c>
      <x:c r="E22" t="n">
        <x:f>INDEX('Veri Kümesi'!$C$6:$C$9,C22)</x:f>
        <x:v>-1</x:v>
      </x:c>
      <x:c r="F22" t="n">
        <x:f>INDEX('Veri Kümesi'!$D$6:$D$9,C22)</x:f>
        <x:v>-1</x:v>
      </x:c>
      <x:c r="G22" s="30" t="n">
        <x:f>M21</x:f>
        <x:v>0.2</x:v>
      </x:c>
      <x:c r="H22" s="30" t="n">
        <x:f>N21</x:f>
        <x:v>0.2</x:v>
      </x:c>
      <x:c r="I22" s="30" t="n">
        <x:f>O21</x:f>
        <x:v>-0.2</x:v>
      </x:c>
      <x:c r="J22" s="30" t="n">
        <x:f>G22*D22+H22*E22+I22</x:f>
        <x:v>-0.6000000000000001</x:v>
      </x:c>
      <x:c r="K22" s="30" t="n">
        <x:f>IF(J22&gt;=0,1,-1)</x:f>
        <x:v>-1</x:v>
      </x:c>
      <x:c r="L22" s="30" t="n">
        <x:f>IF(K22=F22,0,1)</x:f>
        <x:v>0</x:v>
      </x:c>
      <x:c r="M22" s="30" t="n">
        <x:f>G22+'Parametreler'!$B$6*F22*D22*L22</x:f>
        <x:v>0.2</x:v>
      </x:c>
      <x:c r="N22" s="30" t="n">
        <x:f>H22+'Parametreler'!$B$6*F22*E22*L22</x:f>
        <x:v>0.2</x:v>
      </x:c>
      <x:c r="O22" s="30" t="n">
        <x:f>I22+'Parametreler'!$B$6*F22*L22</x:f>
        <x:v>-0.2</x:v>
      </x:c>
      <x:c r="P22" t="n">
        <x:f>1-L22</x:f>
        <x:v>1</x:v>
      </x:c>
    </x:row>
    <x:row r="23">
      <x:c r="A23" t="n">
        <x:f>18</x:f>
        <x:v>18</x:v>
      </x:c>
      <x:c r="B23" t="n">
        <x:f>INT((A23-1)/'Parametreler'!$B$11)+1</x:f>
        <x:v>5</x:v>
      </x:c>
      <x:c r="C23" t="n">
        <x:f>MOD(A23-1,'Parametreler'!$B$11)+1</x:f>
        <x:v>2</x:v>
      </x:c>
      <x:c r="D23" t="n">
        <x:f>INDEX('Veri Kümesi'!$B$6:$B$9,C23)</x:f>
        <x:v>-1</x:v>
      </x:c>
      <x:c r="E23" t="n">
        <x:f>INDEX('Veri Kümesi'!$C$6:$C$9,C23)</x:f>
        <x:v>1</x:v>
      </x:c>
      <x:c r="F23" t="n">
        <x:f>INDEX('Veri Kümesi'!$D$6:$D$9,C23)</x:f>
        <x:v>-1</x:v>
      </x:c>
      <x:c r="G23" s="30" t="n">
        <x:f>M22</x:f>
        <x:v>0.2</x:v>
      </x:c>
      <x:c r="H23" s="30" t="n">
        <x:f>N22</x:f>
        <x:v>0.2</x:v>
      </x:c>
      <x:c r="I23" s="30" t="n">
        <x:f>O22</x:f>
        <x:v>-0.2</x:v>
      </x:c>
      <x:c r="J23" s="30" t="n">
        <x:f>G23*D23+H23*E23+I23</x:f>
        <x:v>-0.2</x:v>
      </x:c>
      <x:c r="K23" s="30" t="n">
        <x:f>IF(J23&gt;=0,1,-1)</x:f>
        <x:v>-1</x:v>
      </x:c>
      <x:c r="L23" s="30" t="n">
        <x:f>IF(K23=F23,0,1)</x:f>
        <x:v>0</x:v>
      </x:c>
      <x:c r="M23" s="30" t="n">
        <x:f>G23+'Parametreler'!$B$6*F23*D23*L23</x:f>
        <x:v>0.2</x:v>
      </x:c>
      <x:c r="N23" s="30" t="n">
        <x:f>H23+'Parametreler'!$B$6*F23*E23*L23</x:f>
        <x:v>0.2</x:v>
      </x:c>
      <x:c r="O23" s="30" t="n">
        <x:f>I23+'Parametreler'!$B$6*F23*L23</x:f>
        <x:v>-0.2</x:v>
      </x:c>
      <x:c r="P23" t="n">
        <x:f>1-L23</x:f>
        <x:v>1</x:v>
      </x:c>
    </x:row>
    <x:row r="24">
      <x:c r="A24" t="n">
        <x:f>19</x:f>
        <x:v>19</x:v>
      </x:c>
      <x:c r="B24" t="n">
        <x:f>INT((A24-1)/'Parametreler'!$B$11)+1</x:f>
        <x:v>5</x:v>
      </x:c>
      <x:c r="C24" t="n">
        <x:f>MOD(A24-1,'Parametreler'!$B$11)+1</x:f>
        <x:v>3</x:v>
      </x:c>
      <x:c r="D24" t="n">
        <x:f>INDEX('Veri Kümesi'!$B$6:$B$9,C24)</x:f>
        <x:v>1</x:v>
      </x:c>
      <x:c r="E24" t="n">
        <x:f>INDEX('Veri Kümesi'!$C$6:$C$9,C24)</x:f>
        <x:v>-1</x:v>
      </x:c>
      <x:c r="F24" t="n">
        <x:f>INDEX('Veri Kümesi'!$D$6:$D$9,C24)</x:f>
        <x:v>-1</x:v>
      </x:c>
      <x:c r="G24" s="30" t="n">
        <x:f>M23</x:f>
        <x:v>0.2</x:v>
      </x:c>
      <x:c r="H24" s="30" t="n">
        <x:f>N23</x:f>
        <x:v>0.2</x:v>
      </x:c>
      <x:c r="I24" s="30" t="n">
        <x:f>O23</x:f>
        <x:v>-0.2</x:v>
      </x:c>
      <x:c r="J24" s="30" t="n">
        <x:f>G24*D24+H24*E24+I24</x:f>
        <x:v>-0.2</x:v>
      </x:c>
      <x:c r="K24" s="30" t="n">
        <x:f>IF(J24&gt;=0,1,-1)</x:f>
        <x:v>-1</x:v>
      </x:c>
      <x:c r="L24" s="30" t="n">
        <x:f>IF(K24=F24,0,1)</x:f>
        <x:v>0</x:v>
      </x:c>
      <x:c r="M24" s="30" t="n">
        <x:f>G24+'Parametreler'!$B$6*F24*D24*L24</x:f>
        <x:v>0.2</x:v>
      </x:c>
      <x:c r="N24" s="30" t="n">
        <x:f>H24+'Parametreler'!$B$6*F24*E24*L24</x:f>
        <x:v>0.2</x:v>
      </x:c>
      <x:c r="O24" s="30" t="n">
        <x:f>I24+'Parametreler'!$B$6*F24*L24</x:f>
        <x:v>-0.2</x:v>
      </x:c>
      <x:c r="P24" t="n">
        <x:f>1-L24</x:f>
        <x:v>1</x:v>
      </x:c>
    </x:row>
    <x:row r="25">
      <x:c r="A25" t="n">
        <x:f>20</x:f>
        <x:v>20</x:v>
      </x:c>
      <x:c r="B25" t="n">
        <x:f>INT((A25-1)/'Parametreler'!$B$11)+1</x:f>
        <x:v>5</x:v>
      </x:c>
      <x:c r="C25" t="n">
        <x:f>MOD(A25-1,'Parametreler'!$B$11)+1</x:f>
        <x:v>4</x:v>
      </x:c>
      <x:c r="D25" t="n">
        <x:f>INDEX('Veri Kümesi'!$B$6:$B$9,C25)</x:f>
        <x:v>1</x:v>
      </x:c>
      <x:c r="E25" t="n">
        <x:f>INDEX('Veri Kümesi'!$C$6:$C$9,C25)</x:f>
        <x:v>1</x:v>
      </x:c>
      <x:c r="F25" t="n">
        <x:f>INDEX('Veri Kümesi'!$D$6:$D$9,C25)</x:f>
        <x:v>1</x:v>
      </x:c>
      <x:c r="G25" s="30" t="n">
        <x:f>M24</x:f>
        <x:v>0.2</x:v>
      </x:c>
      <x:c r="H25" s="30" t="n">
        <x:f>N24</x:f>
        <x:v>0.2</x:v>
      </x:c>
      <x:c r="I25" s="30" t="n">
        <x:f>O24</x:f>
        <x:v>-0.2</x:v>
      </x:c>
      <x:c r="J25" s="30" t="n">
        <x:f>G25*D25+H25*E25+I25</x:f>
        <x:v>0.2</x:v>
      </x:c>
      <x:c r="K25" s="30" t="n">
        <x:f>IF(J25&gt;=0,1,-1)</x:f>
        <x:v>1</x:v>
      </x:c>
      <x:c r="L25" s="30" t="n">
        <x:f>IF(K25=F25,0,1)</x:f>
        <x:v>0</x:v>
      </x:c>
      <x:c r="M25" s="30" t="n">
        <x:f>G25+'Parametreler'!$B$6*F25*D25*L25</x:f>
        <x:v>0.2</x:v>
      </x:c>
      <x:c r="N25" s="30" t="n">
        <x:f>H25+'Parametreler'!$B$6*F25*E25*L25</x:f>
        <x:v>0.2</x:v>
      </x:c>
      <x:c r="O25" s="30" t="n">
        <x:f>I25+'Parametreler'!$B$6*F25*L25</x:f>
        <x:v>-0.2</x:v>
      </x:c>
      <x:c r="P25" t="n">
        <x:f>1-L25</x:f>
        <x:v>1</x:v>
      </x:c>
    </x:row>
    <x:row r="26">
      <x:c r="A26" t="n">
        <x:f>21</x:f>
        <x:v>21</x:v>
      </x:c>
      <x:c r="B26" t="n">
        <x:f>INT((A26-1)/'Parametreler'!$B$11)+1</x:f>
        <x:v>6</x:v>
      </x:c>
      <x:c r="C26" t="n">
        <x:f>MOD(A26-1,'Parametreler'!$B$11)+1</x:f>
        <x:v>1</x:v>
      </x:c>
      <x:c r="D26" t="n">
        <x:f>INDEX('Veri Kümesi'!$B$6:$B$9,C26)</x:f>
        <x:v>-1</x:v>
      </x:c>
      <x:c r="E26" t="n">
        <x:f>INDEX('Veri Kümesi'!$C$6:$C$9,C26)</x:f>
        <x:v>-1</x:v>
      </x:c>
      <x:c r="F26" t="n">
        <x:f>INDEX('Veri Kümesi'!$D$6:$D$9,C26)</x:f>
        <x:v>-1</x:v>
      </x:c>
      <x:c r="G26" s="30" t="n">
        <x:f>M25</x:f>
        <x:v>0.2</x:v>
      </x:c>
      <x:c r="H26" s="30" t="n">
        <x:f>N25</x:f>
        <x:v>0.2</x:v>
      </x:c>
      <x:c r="I26" s="30" t="n">
        <x:f>O25</x:f>
        <x:v>-0.2</x:v>
      </x:c>
      <x:c r="J26" s="30" t="n">
        <x:f>G26*D26+H26*E26+I26</x:f>
        <x:v>-0.6000000000000001</x:v>
      </x:c>
      <x:c r="K26" s="30" t="n">
        <x:f>IF(J26&gt;=0,1,-1)</x:f>
        <x:v>-1</x:v>
      </x:c>
      <x:c r="L26" s="30" t="n">
        <x:f>IF(K26=F26,0,1)</x:f>
        <x:v>0</x:v>
      </x:c>
      <x:c r="M26" s="30" t="n">
        <x:f>G26+'Parametreler'!$B$6*F26*D26*L26</x:f>
        <x:v>0.2</x:v>
      </x:c>
      <x:c r="N26" s="30" t="n">
        <x:f>H26+'Parametreler'!$B$6*F26*E26*L26</x:f>
        <x:v>0.2</x:v>
      </x:c>
      <x:c r="O26" s="30" t="n">
        <x:f>I26+'Parametreler'!$B$6*F26*L26</x:f>
        <x:v>-0.2</x:v>
      </x:c>
      <x:c r="P26" t="n">
        <x:f>1-L26</x:f>
        <x:v>1</x:v>
      </x:c>
    </x:row>
    <x:row r="27">
      <x:c r="A27" t="n">
        <x:f>22</x:f>
        <x:v>22</x:v>
      </x:c>
      <x:c r="B27" t="n">
        <x:f>INT((A27-1)/'Parametreler'!$B$11)+1</x:f>
        <x:v>6</x:v>
      </x:c>
      <x:c r="C27" t="n">
        <x:f>MOD(A27-1,'Parametreler'!$B$11)+1</x:f>
        <x:v>2</x:v>
      </x:c>
      <x:c r="D27" t="n">
        <x:f>INDEX('Veri Kümesi'!$B$6:$B$9,C27)</x:f>
        <x:v>-1</x:v>
      </x:c>
      <x:c r="E27" t="n">
        <x:f>INDEX('Veri Kümesi'!$C$6:$C$9,C27)</x:f>
        <x:v>1</x:v>
      </x:c>
      <x:c r="F27" t="n">
        <x:f>INDEX('Veri Kümesi'!$D$6:$D$9,C27)</x:f>
        <x:v>-1</x:v>
      </x:c>
      <x:c r="G27" s="30" t="n">
        <x:f>M26</x:f>
        <x:v>0.2</x:v>
      </x:c>
      <x:c r="H27" s="30" t="n">
        <x:f>N26</x:f>
        <x:v>0.2</x:v>
      </x:c>
      <x:c r="I27" s="30" t="n">
        <x:f>O26</x:f>
        <x:v>-0.2</x:v>
      </x:c>
      <x:c r="J27" s="30" t="n">
        <x:f>G27*D27+H27*E27+I27</x:f>
        <x:v>-0.2</x:v>
      </x:c>
      <x:c r="K27" s="30" t="n">
        <x:f>IF(J27&gt;=0,1,-1)</x:f>
        <x:v>-1</x:v>
      </x:c>
      <x:c r="L27" s="30" t="n">
        <x:f>IF(K27=F27,0,1)</x:f>
        <x:v>0</x:v>
      </x:c>
      <x:c r="M27" s="30" t="n">
        <x:f>G27+'Parametreler'!$B$6*F27*D27*L27</x:f>
        <x:v>0.2</x:v>
      </x:c>
      <x:c r="N27" s="30" t="n">
        <x:f>H27+'Parametreler'!$B$6*F27*E27*L27</x:f>
        <x:v>0.2</x:v>
      </x:c>
      <x:c r="O27" s="30" t="n">
        <x:f>I27+'Parametreler'!$B$6*F27*L27</x:f>
        <x:v>-0.2</x:v>
      </x:c>
      <x:c r="P27" t="n">
        <x:f>1-L27</x:f>
        <x:v>1</x:v>
      </x:c>
    </x:row>
    <x:row r="28">
      <x:c r="A28" t="n">
        <x:f>23</x:f>
        <x:v>23</x:v>
      </x:c>
      <x:c r="B28" t="n">
        <x:f>INT((A28-1)/'Parametreler'!$B$11)+1</x:f>
        <x:v>6</x:v>
      </x:c>
      <x:c r="C28" t="n">
        <x:f>MOD(A28-1,'Parametreler'!$B$11)+1</x:f>
        <x:v>3</x:v>
      </x:c>
      <x:c r="D28" t="n">
        <x:f>INDEX('Veri Kümesi'!$B$6:$B$9,C28)</x:f>
        <x:v>1</x:v>
      </x:c>
      <x:c r="E28" t="n">
        <x:f>INDEX('Veri Kümesi'!$C$6:$C$9,C28)</x:f>
        <x:v>-1</x:v>
      </x:c>
      <x:c r="F28" t="n">
        <x:f>INDEX('Veri Kümesi'!$D$6:$D$9,C28)</x:f>
        <x:v>-1</x:v>
      </x:c>
      <x:c r="G28" s="30" t="n">
        <x:f>M27</x:f>
        <x:v>0.2</x:v>
      </x:c>
      <x:c r="H28" s="30" t="n">
        <x:f>N27</x:f>
        <x:v>0.2</x:v>
      </x:c>
      <x:c r="I28" s="30" t="n">
        <x:f>O27</x:f>
        <x:v>-0.2</x:v>
      </x:c>
      <x:c r="J28" s="30" t="n">
        <x:f>G28*D28+H28*E28+I28</x:f>
        <x:v>-0.2</x:v>
      </x:c>
      <x:c r="K28" s="30" t="n">
        <x:f>IF(J28&gt;=0,1,-1)</x:f>
        <x:v>-1</x:v>
      </x:c>
      <x:c r="L28" s="30" t="n">
        <x:f>IF(K28=F28,0,1)</x:f>
        <x:v>0</x:v>
      </x:c>
      <x:c r="M28" s="30" t="n">
        <x:f>G28+'Parametreler'!$B$6*F28*D28*L28</x:f>
        <x:v>0.2</x:v>
      </x:c>
      <x:c r="N28" s="30" t="n">
        <x:f>H28+'Parametreler'!$B$6*F28*E28*L28</x:f>
        <x:v>0.2</x:v>
      </x:c>
      <x:c r="O28" s="30" t="n">
        <x:f>I28+'Parametreler'!$B$6*F28*L28</x:f>
        <x:v>-0.2</x:v>
      </x:c>
      <x:c r="P28" t="n">
        <x:f>1-L28</x:f>
        <x:v>1</x:v>
      </x:c>
    </x:row>
    <x:row r="29">
      <x:c r="A29" t="n">
        <x:f>24</x:f>
        <x:v>24</x:v>
      </x:c>
      <x:c r="B29" t="n">
        <x:f>INT((A29-1)/'Parametreler'!$B$11)+1</x:f>
        <x:v>6</x:v>
      </x:c>
      <x:c r="C29" t="n">
        <x:f>MOD(A29-1,'Parametreler'!$B$11)+1</x:f>
        <x:v>4</x:v>
      </x:c>
      <x:c r="D29" t="n">
        <x:f>INDEX('Veri Kümesi'!$B$6:$B$9,C29)</x:f>
        <x:v>1</x:v>
      </x:c>
      <x:c r="E29" t="n">
        <x:f>INDEX('Veri Kümesi'!$C$6:$C$9,C29)</x:f>
        <x:v>1</x:v>
      </x:c>
      <x:c r="F29" t="n">
        <x:f>INDEX('Veri Kümesi'!$D$6:$D$9,C29)</x:f>
        <x:v>1</x:v>
      </x:c>
      <x:c r="G29" s="30" t="n">
        <x:f>M28</x:f>
        <x:v>0.2</x:v>
      </x:c>
      <x:c r="H29" s="30" t="n">
        <x:f>N28</x:f>
        <x:v>0.2</x:v>
      </x:c>
      <x:c r="I29" s="30" t="n">
        <x:f>O28</x:f>
        <x:v>-0.2</x:v>
      </x:c>
      <x:c r="J29" s="30" t="n">
        <x:f>G29*D29+H29*E29+I29</x:f>
        <x:v>0.2</x:v>
      </x:c>
      <x:c r="K29" s="30" t="n">
        <x:f>IF(J29&gt;=0,1,-1)</x:f>
        <x:v>1</x:v>
      </x:c>
      <x:c r="L29" s="30" t="n">
        <x:f>IF(K29=F29,0,1)</x:f>
        <x:v>0</x:v>
      </x:c>
      <x:c r="M29" s="30" t="n">
        <x:f>G29+'Parametreler'!$B$6*F29*D29*L29</x:f>
        <x:v>0.2</x:v>
      </x:c>
      <x:c r="N29" s="30" t="n">
        <x:f>H29+'Parametreler'!$B$6*F29*E29*L29</x:f>
        <x:v>0.2</x:v>
      </x:c>
      <x:c r="O29" s="30" t="n">
        <x:f>I29+'Parametreler'!$B$6*F29*L29</x:f>
        <x:v>-0.2</x:v>
      </x:c>
      <x:c r="P29" t="n">
        <x:f>1-L29</x:f>
        <x:v>1</x:v>
      </x:c>
    </x:row>
    <x:row r="30">
      <x:c r="A30" t="n">
        <x:f>25</x:f>
        <x:v>25</x:v>
      </x:c>
      <x:c r="B30" t="n">
        <x:f>INT((A30-1)/'Parametreler'!$B$11)+1</x:f>
        <x:v>7</x:v>
      </x:c>
      <x:c r="C30" t="n">
        <x:f>MOD(A30-1,'Parametreler'!$B$11)+1</x:f>
        <x:v>1</x:v>
      </x:c>
      <x:c r="D30" t="n">
        <x:f>INDEX('Veri Kümesi'!$B$6:$B$9,C30)</x:f>
        <x:v>-1</x:v>
      </x:c>
      <x:c r="E30" t="n">
        <x:f>INDEX('Veri Kümesi'!$C$6:$C$9,C30)</x:f>
        <x:v>-1</x:v>
      </x:c>
      <x:c r="F30" t="n">
        <x:f>INDEX('Veri Kümesi'!$D$6:$D$9,C30)</x:f>
        <x:v>-1</x:v>
      </x:c>
      <x:c r="G30" s="30" t="n">
        <x:f>M29</x:f>
        <x:v>0.2</x:v>
      </x:c>
      <x:c r="H30" s="30" t="n">
        <x:f>N29</x:f>
        <x:v>0.2</x:v>
      </x:c>
      <x:c r="I30" s="30" t="n">
        <x:f>O29</x:f>
        <x:v>-0.2</x:v>
      </x:c>
      <x:c r="J30" s="30" t="n">
        <x:f>G30*D30+H30*E30+I30</x:f>
        <x:v>-0.6000000000000001</x:v>
      </x:c>
      <x:c r="K30" s="30" t="n">
        <x:f>IF(J30&gt;=0,1,-1)</x:f>
        <x:v>-1</x:v>
      </x:c>
      <x:c r="L30" s="30" t="n">
        <x:f>IF(K30=F30,0,1)</x:f>
        <x:v>0</x:v>
      </x:c>
      <x:c r="M30" s="30" t="n">
        <x:f>G30+'Parametreler'!$B$6*F30*D30*L30</x:f>
        <x:v>0.2</x:v>
      </x:c>
      <x:c r="N30" s="30" t="n">
        <x:f>H30+'Parametreler'!$B$6*F30*E30*L30</x:f>
        <x:v>0.2</x:v>
      </x:c>
      <x:c r="O30" s="30" t="n">
        <x:f>I30+'Parametreler'!$B$6*F30*L30</x:f>
        <x:v>-0.2</x:v>
      </x:c>
      <x:c r="P30" t="n">
        <x:f>1-L30</x:f>
        <x:v>1</x:v>
      </x:c>
    </x:row>
    <x:row r="31">
      <x:c r="A31" t="n">
        <x:f>26</x:f>
        <x:v>26</x:v>
      </x:c>
      <x:c r="B31" t="n">
        <x:f>INT((A31-1)/'Parametreler'!$B$11)+1</x:f>
        <x:v>7</x:v>
      </x:c>
      <x:c r="C31" t="n">
        <x:f>MOD(A31-1,'Parametreler'!$B$11)+1</x:f>
        <x:v>2</x:v>
      </x:c>
      <x:c r="D31" t="n">
        <x:f>INDEX('Veri Kümesi'!$B$6:$B$9,C31)</x:f>
        <x:v>-1</x:v>
      </x:c>
      <x:c r="E31" t="n">
        <x:f>INDEX('Veri Kümesi'!$C$6:$C$9,C31)</x:f>
        <x:v>1</x:v>
      </x:c>
      <x:c r="F31" t="n">
        <x:f>INDEX('Veri Kümesi'!$D$6:$D$9,C31)</x:f>
        <x:v>-1</x:v>
      </x:c>
      <x:c r="G31" s="30" t="n">
        <x:f>M30</x:f>
        <x:v>0.2</x:v>
      </x:c>
      <x:c r="H31" s="30" t="n">
        <x:f>N30</x:f>
        <x:v>0.2</x:v>
      </x:c>
      <x:c r="I31" s="30" t="n">
        <x:f>O30</x:f>
        <x:v>-0.2</x:v>
      </x:c>
      <x:c r="J31" s="30" t="n">
        <x:f>G31*D31+H31*E31+I31</x:f>
        <x:v>-0.2</x:v>
      </x:c>
      <x:c r="K31" s="30" t="n">
        <x:f>IF(J31&gt;=0,1,-1)</x:f>
        <x:v>-1</x:v>
      </x:c>
      <x:c r="L31" s="30" t="n">
        <x:f>IF(K31=F31,0,1)</x:f>
        <x:v>0</x:v>
      </x:c>
      <x:c r="M31" s="30" t="n">
        <x:f>G31+'Parametreler'!$B$6*F31*D31*L31</x:f>
        <x:v>0.2</x:v>
      </x:c>
      <x:c r="N31" s="30" t="n">
        <x:f>H31+'Parametreler'!$B$6*F31*E31*L31</x:f>
        <x:v>0.2</x:v>
      </x:c>
      <x:c r="O31" s="30" t="n">
        <x:f>I31+'Parametreler'!$B$6*F31*L31</x:f>
        <x:v>-0.2</x:v>
      </x:c>
      <x:c r="P31" t="n">
        <x:f>1-L31</x:f>
        <x:v>1</x:v>
      </x:c>
    </x:row>
    <x:row r="32">
      <x:c r="A32" t="n">
        <x:f>27</x:f>
        <x:v>27</x:v>
      </x:c>
      <x:c r="B32" t="n">
        <x:f>INT((A32-1)/'Parametreler'!$B$11)+1</x:f>
        <x:v>7</x:v>
      </x:c>
      <x:c r="C32" t="n">
        <x:f>MOD(A32-1,'Parametreler'!$B$11)+1</x:f>
        <x:v>3</x:v>
      </x:c>
      <x:c r="D32" t="n">
        <x:f>INDEX('Veri Kümesi'!$B$6:$B$9,C32)</x:f>
        <x:v>1</x:v>
      </x:c>
      <x:c r="E32" t="n">
        <x:f>INDEX('Veri Kümesi'!$C$6:$C$9,C32)</x:f>
        <x:v>-1</x:v>
      </x:c>
      <x:c r="F32" t="n">
        <x:f>INDEX('Veri Kümesi'!$D$6:$D$9,C32)</x:f>
        <x:v>-1</x:v>
      </x:c>
      <x:c r="G32" s="30" t="n">
        <x:f>M31</x:f>
        <x:v>0.2</x:v>
      </x:c>
      <x:c r="H32" s="30" t="n">
        <x:f>N31</x:f>
        <x:v>0.2</x:v>
      </x:c>
      <x:c r="I32" s="30" t="n">
        <x:f>O31</x:f>
        <x:v>-0.2</x:v>
      </x:c>
      <x:c r="J32" s="30" t="n">
        <x:f>G32*D32+H32*E32+I32</x:f>
        <x:v>-0.2</x:v>
      </x:c>
      <x:c r="K32" s="30" t="n">
        <x:f>IF(J32&gt;=0,1,-1)</x:f>
        <x:v>-1</x:v>
      </x:c>
      <x:c r="L32" s="30" t="n">
        <x:f>IF(K32=F32,0,1)</x:f>
        <x:v>0</x:v>
      </x:c>
      <x:c r="M32" s="30" t="n">
        <x:f>G32+'Parametreler'!$B$6*F32*D32*L32</x:f>
        <x:v>0.2</x:v>
      </x:c>
      <x:c r="N32" s="30" t="n">
        <x:f>H32+'Parametreler'!$B$6*F32*E32*L32</x:f>
        <x:v>0.2</x:v>
      </x:c>
      <x:c r="O32" s="30" t="n">
        <x:f>I32+'Parametreler'!$B$6*F32*L32</x:f>
        <x:v>-0.2</x:v>
      </x:c>
      <x:c r="P32" t="n">
        <x:f>1-L32</x:f>
        <x:v>1</x:v>
      </x:c>
    </x:row>
    <x:row r="33">
      <x:c r="A33" t="n">
        <x:f>28</x:f>
        <x:v>28</x:v>
      </x:c>
      <x:c r="B33" t="n">
        <x:f>INT((A33-1)/'Parametreler'!$B$11)+1</x:f>
        <x:v>7</x:v>
      </x:c>
      <x:c r="C33" t="n">
        <x:f>MOD(A33-1,'Parametreler'!$B$11)+1</x:f>
        <x:v>4</x:v>
      </x:c>
      <x:c r="D33" t="n">
        <x:f>INDEX('Veri Kümesi'!$B$6:$B$9,C33)</x:f>
        <x:v>1</x:v>
      </x:c>
      <x:c r="E33" t="n">
        <x:f>INDEX('Veri Kümesi'!$C$6:$C$9,C33)</x:f>
        <x:v>1</x:v>
      </x:c>
      <x:c r="F33" t="n">
        <x:f>INDEX('Veri Kümesi'!$D$6:$D$9,C33)</x:f>
        <x:v>1</x:v>
      </x:c>
      <x:c r="G33" s="30" t="n">
        <x:f>M32</x:f>
        <x:v>0.2</x:v>
      </x:c>
      <x:c r="H33" s="30" t="n">
        <x:f>N32</x:f>
        <x:v>0.2</x:v>
      </x:c>
      <x:c r="I33" s="30" t="n">
        <x:f>O32</x:f>
        <x:v>-0.2</x:v>
      </x:c>
      <x:c r="J33" s="30" t="n">
        <x:f>G33*D33+H33*E33+I33</x:f>
        <x:v>0.2</x:v>
      </x:c>
      <x:c r="K33" s="30" t="n">
        <x:f>IF(J33&gt;=0,1,-1)</x:f>
        <x:v>1</x:v>
      </x:c>
      <x:c r="L33" s="30" t="n">
        <x:f>IF(K33=F33,0,1)</x:f>
        <x:v>0</x:v>
      </x:c>
      <x:c r="M33" s="30" t="n">
        <x:f>G33+'Parametreler'!$B$6*F33*D33*L33</x:f>
        <x:v>0.2</x:v>
      </x:c>
      <x:c r="N33" s="30" t="n">
        <x:f>H33+'Parametreler'!$B$6*F33*E33*L33</x:f>
        <x:v>0.2</x:v>
      </x:c>
      <x:c r="O33" s="30" t="n">
        <x:f>I33+'Parametreler'!$B$6*F33*L33</x:f>
        <x:v>-0.2</x:v>
      </x:c>
      <x:c r="P33" t="n">
        <x:f>1-L33</x:f>
        <x:v>1</x:v>
      </x:c>
    </x:row>
    <x:row r="34">
      <x:c r="A34" t="n">
        <x:f>29</x:f>
        <x:v>29</x:v>
      </x:c>
      <x:c r="B34" t="n">
        <x:f>INT((A34-1)/'Parametreler'!$B$11)+1</x:f>
        <x:v>8</x:v>
      </x:c>
      <x:c r="C34" t="n">
        <x:f>MOD(A34-1,'Parametreler'!$B$11)+1</x:f>
        <x:v>1</x:v>
      </x:c>
      <x:c r="D34" t="n">
        <x:f>INDEX('Veri Kümesi'!$B$6:$B$9,C34)</x:f>
        <x:v>-1</x:v>
      </x:c>
      <x:c r="E34" t="n">
        <x:f>INDEX('Veri Kümesi'!$C$6:$C$9,C34)</x:f>
        <x:v>-1</x:v>
      </x:c>
      <x:c r="F34" t="n">
        <x:f>INDEX('Veri Kümesi'!$D$6:$D$9,C34)</x:f>
        <x:v>-1</x:v>
      </x:c>
      <x:c r="G34" s="30" t="n">
        <x:f>M33</x:f>
        <x:v>0.2</x:v>
      </x:c>
      <x:c r="H34" s="30" t="n">
        <x:f>N33</x:f>
        <x:v>0.2</x:v>
      </x:c>
      <x:c r="I34" s="30" t="n">
        <x:f>O33</x:f>
        <x:v>-0.2</x:v>
      </x:c>
      <x:c r="J34" s="30" t="n">
        <x:f>G34*D34+H34*E34+I34</x:f>
        <x:v>-0.6000000000000001</x:v>
      </x:c>
      <x:c r="K34" s="30" t="n">
        <x:f>IF(J34&gt;=0,1,-1)</x:f>
        <x:v>-1</x:v>
      </x:c>
      <x:c r="L34" s="30" t="n">
        <x:f>IF(K34=F34,0,1)</x:f>
        <x:v>0</x:v>
      </x:c>
      <x:c r="M34" s="30" t="n">
        <x:f>G34+'Parametreler'!$B$6*F34*D34*L34</x:f>
        <x:v>0.2</x:v>
      </x:c>
      <x:c r="N34" s="30" t="n">
        <x:f>H34+'Parametreler'!$B$6*F34*E34*L34</x:f>
        <x:v>0.2</x:v>
      </x:c>
      <x:c r="O34" s="30" t="n">
        <x:f>I34+'Parametreler'!$B$6*F34*L34</x:f>
        <x:v>-0.2</x:v>
      </x:c>
      <x:c r="P34" t="n">
        <x:f>1-L34</x:f>
        <x:v>1</x:v>
      </x:c>
    </x:row>
    <x:row r="35">
      <x:c r="A35" t="n">
        <x:f>30</x:f>
        <x:v>30</x:v>
      </x:c>
      <x:c r="B35" t="n">
        <x:f>INT((A35-1)/'Parametreler'!$B$11)+1</x:f>
        <x:v>8</x:v>
      </x:c>
      <x:c r="C35" t="n">
        <x:f>MOD(A35-1,'Parametreler'!$B$11)+1</x:f>
        <x:v>2</x:v>
      </x:c>
      <x:c r="D35" t="n">
        <x:f>INDEX('Veri Kümesi'!$B$6:$B$9,C35)</x:f>
        <x:v>-1</x:v>
      </x:c>
      <x:c r="E35" t="n">
        <x:f>INDEX('Veri Kümesi'!$C$6:$C$9,C35)</x:f>
        <x:v>1</x:v>
      </x:c>
      <x:c r="F35" t="n">
        <x:f>INDEX('Veri Kümesi'!$D$6:$D$9,C35)</x:f>
        <x:v>-1</x:v>
      </x:c>
      <x:c r="G35" s="30" t="n">
        <x:f>M34</x:f>
        <x:v>0.2</x:v>
      </x:c>
      <x:c r="H35" s="30" t="n">
        <x:f>N34</x:f>
        <x:v>0.2</x:v>
      </x:c>
      <x:c r="I35" s="30" t="n">
        <x:f>O34</x:f>
        <x:v>-0.2</x:v>
      </x:c>
      <x:c r="J35" s="30" t="n">
        <x:f>G35*D35+H35*E35+I35</x:f>
        <x:v>-0.2</x:v>
      </x:c>
      <x:c r="K35" s="30" t="n">
        <x:f>IF(J35&gt;=0,1,-1)</x:f>
        <x:v>-1</x:v>
      </x:c>
      <x:c r="L35" s="30" t="n">
        <x:f>IF(K35=F35,0,1)</x:f>
        <x:v>0</x:v>
      </x:c>
      <x:c r="M35" s="30" t="n">
        <x:f>G35+'Parametreler'!$B$6*F35*D35*L35</x:f>
        <x:v>0.2</x:v>
      </x:c>
      <x:c r="N35" s="30" t="n">
        <x:f>H35+'Parametreler'!$B$6*F35*E35*L35</x:f>
        <x:v>0.2</x:v>
      </x:c>
      <x:c r="O35" s="30" t="n">
        <x:f>I35+'Parametreler'!$B$6*F35*L35</x:f>
        <x:v>-0.2</x:v>
      </x:c>
      <x:c r="P35" t="n">
        <x:f>1-L35</x:f>
        <x:v>1</x:v>
      </x:c>
    </x:row>
    <x:row r="36">
      <x:c r="A36" t="n">
        <x:f>31</x:f>
        <x:v>31</x:v>
      </x:c>
      <x:c r="B36" t="n">
        <x:f>INT((A36-1)/'Parametreler'!$B$11)+1</x:f>
        <x:v>8</x:v>
      </x:c>
      <x:c r="C36" t="n">
        <x:f>MOD(A36-1,'Parametreler'!$B$11)+1</x:f>
        <x:v>3</x:v>
      </x:c>
      <x:c r="D36" t="n">
        <x:f>INDEX('Veri Kümesi'!$B$6:$B$9,C36)</x:f>
        <x:v>1</x:v>
      </x:c>
      <x:c r="E36" t="n">
        <x:f>INDEX('Veri Kümesi'!$C$6:$C$9,C36)</x:f>
        <x:v>-1</x:v>
      </x:c>
      <x:c r="F36" t="n">
        <x:f>INDEX('Veri Kümesi'!$D$6:$D$9,C36)</x:f>
        <x:v>-1</x:v>
      </x:c>
      <x:c r="G36" s="30" t="n">
        <x:f>M35</x:f>
        <x:v>0.2</x:v>
      </x:c>
      <x:c r="H36" s="30" t="n">
        <x:f>N35</x:f>
        <x:v>0.2</x:v>
      </x:c>
      <x:c r="I36" s="30" t="n">
        <x:f>O35</x:f>
        <x:v>-0.2</x:v>
      </x:c>
      <x:c r="J36" s="30" t="n">
        <x:f>G36*D36+H36*E36+I36</x:f>
        <x:v>-0.2</x:v>
      </x:c>
      <x:c r="K36" s="30" t="n">
        <x:f>IF(J36&gt;=0,1,-1)</x:f>
        <x:v>-1</x:v>
      </x:c>
      <x:c r="L36" s="30" t="n">
        <x:f>IF(K36=F36,0,1)</x:f>
        <x:v>0</x:v>
      </x:c>
      <x:c r="M36" s="30" t="n">
        <x:f>G36+'Parametreler'!$B$6*F36*D36*L36</x:f>
        <x:v>0.2</x:v>
      </x:c>
      <x:c r="N36" s="30" t="n">
        <x:f>H36+'Parametreler'!$B$6*F36*E36*L36</x:f>
        <x:v>0.2</x:v>
      </x:c>
      <x:c r="O36" s="30" t="n">
        <x:f>I36+'Parametreler'!$B$6*F36*L36</x:f>
        <x:v>-0.2</x:v>
      </x:c>
      <x:c r="P36" t="n">
        <x:f>1-L36</x:f>
        <x:v>1</x:v>
      </x:c>
    </x:row>
    <x:row r="37">
      <x:c r="A37" t="n">
        <x:f>32</x:f>
        <x:v>32</x:v>
      </x:c>
      <x:c r="B37" t="n">
        <x:f>INT((A37-1)/'Parametreler'!$B$11)+1</x:f>
        <x:v>8</x:v>
      </x:c>
      <x:c r="C37" t="n">
        <x:f>MOD(A37-1,'Parametreler'!$B$11)+1</x:f>
        <x:v>4</x:v>
      </x:c>
      <x:c r="D37" t="n">
        <x:f>INDEX('Veri Kümesi'!$B$6:$B$9,C37)</x:f>
        <x:v>1</x:v>
      </x:c>
      <x:c r="E37" t="n">
        <x:f>INDEX('Veri Kümesi'!$C$6:$C$9,C37)</x:f>
        <x:v>1</x:v>
      </x:c>
      <x:c r="F37" t="n">
        <x:f>INDEX('Veri Kümesi'!$D$6:$D$9,C37)</x:f>
        <x:v>1</x:v>
      </x:c>
      <x:c r="G37" s="30" t="n">
        <x:f>M36</x:f>
        <x:v>0.2</x:v>
      </x:c>
      <x:c r="H37" s="30" t="n">
        <x:f>N36</x:f>
        <x:v>0.2</x:v>
      </x:c>
      <x:c r="I37" s="30" t="n">
        <x:f>O36</x:f>
        <x:v>-0.2</x:v>
      </x:c>
      <x:c r="J37" s="30" t="n">
        <x:f>G37*D37+H37*E37+I37</x:f>
        <x:v>0.2</x:v>
      </x:c>
      <x:c r="K37" s="30" t="n">
        <x:f>IF(J37&gt;=0,1,-1)</x:f>
        <x:v>1</x:v>
      </x:c>
      <x:c r="L37" s="30" t="n">
        <x:f>IF(K37=F37,0,1)</x:f>
        <x:v>0</x:v>
      </x:c>
      <x:c r="M37" s="30" t="n">
        <x:f>G37+'Parametreler'!$B$6*F37*D37*L37</x:f>
        <x:v>0.2</x:v>
      </x:c>
      <x:c r="N37" s="30" t="n">
        <x:f>H37+'Parametreler'!$B$6*F37*E37*L37</x:f>
        <x:v>0.2</x:v>
      </x:c>
      <x:c r="O37" s="30" t="n">
        <x:f>I37+'Parametreler'!$B$6*F37*L37</x:f>
        <x:v>-0.2</x:v>
      </x:c>
      <x:c r="P37" t="n">
        <x:f>1-L37</x:f>
        <x:v>1</x:v>
      </x:c>
    </x:row>
    <x:row r="38">
      <x:c r="A38" t="n">
        <x:f>33</x:f>
        <x:v>33</x:v>
      </x:c>
      <x:c r="B38" t="n">
        <x:f>INT((A38-1)/'Parametreler'!$B$11)+1</x:f>
        <x:v>9</x:v>
      </x:c>
      <x:c r="C38" t="n">
        <x:f>MOD(A38-1,'Parametreler'!$B$11)+1</x:f>
        <x:v>1</x:v>
      </x:c>
      <x:c r="D38" t="n">
        <x:f>INDEX('Veri Kümesi'!$B$6:$B$9,C38)</x:f>
        <x:v>-1</x:v>
      </x:c>
      <x:c r="E38" t="n">
        <x:f>INDEX('Veri Kümesi'!$C$6:$C$9,C38)</x:f>
        <x:v>-1</x:v>
      </x:c>
      <x:c r="F38" t="n">
        <x:f>INDEX('Veri Kümesi'!$D$6:$D$9,C38)</x:f>
        <x:v>-1</x:v>
      </x:c>
      <x:c r="G38" s="30" t="n">
        <x:f>M37</x:f>
        <x:v>0.2</x:v>
      </x:c>
      <x:c r="H38" s="30" t="n">
        <x:f>N37</x:f>
        <x:v>0.2</x:v>
      </x:c>
      <x:c r="I38" s="30" t="n">
        <x:f>O37</x:f>
        <x:v>-0.2</x:v>
      </x:c>
      <x:c r="J38" s="30" t="n">
        <x:f>G38*D38+H38*E38+I38</x:f>
        <x:v>-0.6000000000000001</x:v>
      </x:c>
      <x:c r="K38" s="30" t="n">
        <x:f>IF(J38&gt;=0,1,-1)</x:f>
        <x:v>-1</x:v>
      </x:c>
      <x:c r="L38" s="30" t="n">
        <x:f>IF(K38=F38,0,1)</x:f>
        <x:v>0</x:v>
      </x:c>
      <x:c r="M38" s="30" t="n">
        <x:f>G38+'Parametreler'!$B$6*F38*D38*L38</x:f>
        <x:v>0.2</x:v>
      </x:c>
      <x:c r="N38" s="30" t="n">
        <x:f>H38+'Parametreler'!$B$6*F38*E38*L38</x:f>
        <x:v>0.2</x:v>
      </x:c>
      <x:c r="O38" s="30" t="n">
        <x:f>I38+'Parametreler'!$B$6*F38*L38</x:f>
        <x:v>-0.2</x:v>
      </x:c>
      <x:c r="P38" t="n">
        <x:f>1-L38</x:f>
        <x:v>1</x:v>
      </x:c>
    </x:row>
    <x:row r="39">
      <x:c r="A39" t="n">
        <x:f>34</x:f>
        <x:v>34</x:v>
      </x:c>
      <x:c r="B39" t="n">
        <x:f>INT((A39-1)/'Parametreler'!$B$11)+1</x:f>
        <x:v>9</x:v>
      </x:c>
      <x:c r="C39" t="n">
        <x:f>MOD(A39-1,'Parametreler'!$B$11)+1</x:f>
        <x:v>2</x:v>
      </x:c>
      <x:c r="D39" t="n">
        <x:f>INDEX('Veri Kümesi'!$B$6:$B$9,C39)</x:f>
        <x:v>-1</x:v>
      </x:c>
      <x:c r="E39" t="n">
        <x:f>INDEX('Veri Kümesi'!$C$6:$C$9,C39)</x:f>
        <x:v>1</x:v>
      </x:c>
      <x:c r="F39" t="n">
        <x:f>INDEX('Veri Kümesi'!$D$6:$D$9,C39)</x:f>
        <x:v>-1</x:v>
      </x:c>
      <x:c r="G39" s="30" t="n">
        <x:f>M38</x:f>
        <x:v>0.2</x:v>
      </x:c>
      <x:c r="H39" s="30" t="n">
        <x:f>N38</x:f>
        <x:v>0.2</x:v>
      </x:c>
      <x:c r="I39" s="30" t="n">
        <x:f>O38</x:f>
        <x:v>-0.2</x:v>
      </x:c>
      <x:c r="J39" s="30" t="n">
        <x:f>G39*D39+H39*E39+I39</x:f>
        <x:v>-0.2</x:v>
      </x:c>
      <x:c r="K39" s="30" t="n">
        <x:f>IF(J39&gt;=0,1,-1)</x:f>
        <x:v>-1</x:v>
      </x:c>
      <x:c r="L39" s="30" t="n">
        <x:f>IF(K39=F39,0,1)</x:f>
        <x:v>0</x:v>
      </x:c>
      <x:c r="M39" s="30" t="n">
        <x:f>G39+'Parametreler'!$B$6*F39*D39*L39</x:f>
        <x:v>0.2</x:v>
      </x:c>
      <x:c r="N39" s="30" t="n">
        <x:f>H39+'Parametreler'!$B$6*F39*E39*L39</x:f>
        <x:v>0.2</x:v>
      </x:c>
      <x:c r="O39" s="30" t="n">
        <x:f>I39+'Parametreler'!$B$6*F39*L39</x:f>
        <x:v>-0.2</x:v>
      </x:c>
      <x:c r="P39" t="n">
        <x:f>1-L39</x:f>
        <x:v>1</x:v>
      </x:c>
    </x:row>
    <x:row r="40">
      <x:c r="A40" t="n">
        <x:f>35</x:f>
        <x:v>35</x:v>
      </x:c>
      <x:c r="B40" t="n">
        <x:f>INT((A40-1)/'Parametreler'!$B$11)+1</x:f>
        <x:v>9</x:v>
      </x:c>
      <x:c r="C40" t="n">
        <x:f>MOD(A40-1,'Parametreler'!$B$11)+1</x:f>
        <x:v>3</x:v>
      </x:c>
      <x:c r="D40" t="n">
        <x:f>INDEX('Veri Kümesi'!$B$6:$B$9,C40)</x:f>
        <x:v>1</x:v>
      </x:c>
      <x:c r="E40" t="n">
        <x:f>INDEX('Veri Kümesi'!$C$6:$C$9,C40)</x:f>
        <x:v>-1</x:v>
      </x:c>
      <x:c r="F40" t="n">
        <x:f>INDEX('Veri Kümesi'!$D$6:$D$9,C40)</x:f>
        <x:v>-1</x:v>
      </x:c>
      <x:c r="G40" s="30" t="n">
        <x:f>M39</x:f>
        <x:v>0.2</x:v>
      </x:c>
      <x:c r="H40" s="30" t="n">
        <x:f>N39</x:f>
        <x:v>0.2</x:v>
      </x:c>
      <x:c r="I40" s="30" t="n">
        <x:f>O39</x:f>
        <x:v>-0.2</x:v>
      </x:c>
      <x:c r="J40" s="30" t="n">
        <x:f>G40*D40+H40*E40+I40</x:f>
        <x:v>-0.2</x:v>
      </x:c>
      <x:c r="K40" s="30" t="n">
        <x:f>IF(J40&gt;=0,1,-1)</x:f>
        <x:v>-1</x:v>
      </x:c>
      <x:c r="L40" s="30" t="n">
        <x:f>IF(K40=F40,0,1)</x:f>
        <x:v>0</x:v>
      </x:c>
      <x:c r="M40" s="30" t="n">
        <x:f>G40+'Parametreler'!$B$6*F40*D40*L40</x:f>
        <x:v>0.2</x:v>
      </x:c>
      <x:c r="N40" s="30" t="n">
        <x:f>H40+'Parametreler'!$B$6*F40*E40*L40</x:f>
        <x:v>0.2</x:v>
      </x:c>
      <x:c r="O40" s="30" t="n">
        <x:f>I40+'Parametreler'!$B$6*F40*L40</x:f>
        <x:v>-0.2</x:v>
      </x:c>
      <x:c r="P40" t="n">
        <x:f>1-L40</x:f>
        <x:v>1</x:v>
      </x:c>
    </x:row>
    <x:row r="41">
      <x:c r="A41" t="n">
        <x:f>36</x:f>
        <x:v>36</x:v>
      </x:c>
      <x:c r="B41" t="n">
        <x:f>INT((A41-1)/'Parametreler'!$B$11)+1</x:f>
        <x:v>9</x:v>
      </x:c>
      <x:c r="C41" t="n">
        <x:f>MOD(A41-1,'Parametreler'!$B$11)+1</x:f>
        <x:v>4</x:v>
      </x:c>
      <x:c r="D41" t="n">
        <x:f>INDEX('Veri Kümesi'!$B$6:$B$9,C41)</x:f>
        <x:v>1</x:v>
      </x:c>
      <x:c r="E41" t="n">
        <x:f>INDEX('Veri Kümesi'!$C$6:$C$9,C41)</x:f>
        <x:v>1</x:v>
      </x:c>
      <x:c r="F41" t="n">
        <x:f>INDEX('Veri Kümesi'!$D$6:$D$9,C41)</x:f>
        <x:v>1</x:v>
      </x:c>
      <x:c r="G41" s="30" t="n">
        <x:f>M40</x:f>
        <x:v>0.2</x:v>
      </x:c>
      <x:c r="H41" s="30" t="n">
        <x:f>N40</x:f>
        <x:v>0.2</x:v>
      </x:c>
      <x:c r="I41" s="30" t="n">
        <x:f>O40</x:f>
        <x:v>-0.2</x:v>
      </x:c>
      <x:c r="J41" s="30" t="n">
        <x:f>G41*D41+H41*E41+I41</x:f>
        <x:v>0.2</x:v>
      </x:c>
      <x:c r="K41" s="30" t="n">
        <x:f>IF(J41&gt;=0,1,-1)</x:f>
        <x:v>1</x:v>
      </x:c>
      <x:c r="L41" s="30" t="n">
        <x:f>IF(K41=F41,0,1)</x:f>
        <x:v>0</x:v>
      </x:c>
      <x:c r="M41" s="30" t="n">
        <x:f>G41+'Parametreler'!$B$6*F41*D41*L41</x:f>
        <x:v>0.2</x:v>
      </x:c>
      <x:c r="N41" s="30" t="n">
        <x:f>H41+'Parametreler'!$B$6*F41*E41*L41</x:f>
        <x:v>0.2</x:v>
      </x:c>
      <x:c r="O41" s="30" t="n">
        <x:f>I41+'Parametreler'!$B$6*F41*L41</x:f>
        <x:v>-0.2</x:v>
      </x:c>
      <x:c r="P41" t="n">
        <x:f>1-L41</x:f>
        <x:v>1</x:v>
      </x:c>
    </x:row>
    <x:row r="42">
      <x:c r="A42" t="n">
        <x:f>37</x:f>
        <x:v>37</x:v>
      </x:c>
      <x:c r="B42" t="n">
        <x:f>INT((A42-1)/'Parametreler'!$B$11)+1</x:f>
        <x:v>10</x:v>
      </x:c>
      <x:c r="C42" t="n">
        <x:f>MOD(A42-1,'Parametreler'!$B$11)+1</x:f>
        <x:v>1</x:v>
      </x:c>
      <x:c r="D42" t="n">
        <x:f>INDEX('Veri Kümesi'!$B$6:$B$9,C42)</x:f>
        <x:v>-1</x:v>
      </x:c>
      <x:c r="E42" t="n">
        <x:f>INDEX('Veri Kümesi'!$C$6:$C$9,C42)</x:f>
        <x:v>-1</x:v>
      </x:c>
      <x:c r="F42" t="n">
        <x:f>INDEX('Veri Kümesi'!$D$6:$D$9,C42)</x:f>
        <x:v>-1</x:v>
      </x:c>
      <x:c r="G42" s="30" t="n">
        <x:f>M41</x:f>
        <x:v>0.2</x:v>
      </x:c>
      <x:c r="H42" s="30" t="n">
        <x:f>N41</x:f>
        <x:v>0.2</x:v>
      </x:c>
      <x:c r="I42" s="30" t="n">
        <x:f>O41</x:f>
        <x:v>-0.2</x:v>
      </x:c>
      <x:c r="J42" s="30" t="n">
        <x:f>G42*D42+H42*E42+I42</x:f>
        <x:v>-0.6000000000000001</x:v>
      </x:c>
      <x:c r="K42" s="30" t="n">
        <x:f>IF(J42&gt;=0,1,-1)</x:f>
        <x:v>-1</x:v>
      </x:c>
      <x:c r="L42" s="30" t="n">
        <x:f>IF(K42=F42,0,1)</x:f>
        <x:v>0</x:v>
      </x:c>
      <x:c r="M42" s="30" t="n">
        <x:f>G42+'Parametreler'!$B$6*F42*D42*L42</x:f>
        <x:v>0.2</x:v>
      </x:c>
      <x:c r="N42" s="30" t="n">
        <x:f>H42+'Parametreler'!$B$6*F42*E42*L42</x:f>
        <x:v>0.2</x:v>
      </x:c>
      <x:c r="O42" s="30" t="n">
        <x:f>I42+'Parametreler'!$B$6*F42*L42</x:f>
        <x:v>-0.2</x:v>
      </x:c>
      <x:c r="P42" t="n">
        <x:f>1-L42</x:f>
        <x:v>1</x:v>
      </x:c>
    </x:row>
    <x:row r="43">
      <x:c r="A43" t="n">
        <x:f>38</x:f>
        <x:v>38</x:v>
      </x:c>
      <x:c r="B43" t="n">
        <x:f>INT((A43-1)/'Parametreler'!$B$11)+1</x:f>
        <x:v>10</x:v>
      </x:c>
      <x:c r="C43" t="n">
        <x:f>MOD(A43-1,'Parametreler'!$B$11)+1</x:f>
        <x:v>2</x:v>
      </x:c>
      <x:c r="D43" t="n">
        <x:f>INDEX('Veri Kümesi'!$B$6:$B$9,C43)</x:f>
        <x:v>-1</x:v>
      </x:c>
      <x:c r="E43" t="n">
        <x:f>INDEX('Veri Kümesi'!$C$6:$C$9,C43)</x:f>
        <x:v>1</x:v>
      </x:c>
      <x:c r="F43" t="n">
        <x:f>INDEX('Veri Kümesi'!$D$6:$D$9,C43)</x:f>
        <x:v>-1</x:v>
      </x:c>
      <x:c r="G43" s="30" t="n">
        <x:f>M42</x:f>
        <x:v>0.2</x:v>
      </x:c>
      <x:c r="H43" s="30" t="n">
        <x:f>N42</x:f>
        <x:v>0.2</x:v>
      </x:c>
      <x:c r="I43" s="30" t="n">
        <x:f>O42</x:f>
        <x:v>-0.2</x:v>
      </x:c>
      <x:c r="J43" s="30" t="n">
        <x:f>G43*D43+H43*E43+I43</x:f>
        <x:v>-0.2</x:v>
      </x:c>
      <x:c r="K43" s="30" t="n">
        <x:f>IF(J43&gt;=0,1,-1)</x:f>
        <x:v>-1</x:v>
      </x:c>
      <x:c r="L43" s="30" t="n">
        <x:f>IF(K43=F43,0,1)</x:f>
        <x:v>0</x:v>
      </x:c>
      <x:c r="M43" s="30" t="n">
        <x:f>G43+'Parametreler'!$B$6*F43*D43*L43</x:f>
        <x:v>0.2</x:v>
      </x:c>
      <x:c r="N43" s="30" t="n">
        <x:f>H43+'Parametreler'!$B$6*F43*E43*L43</x:f>
        <x:v>0.2</x:v>
      </x:c>
      <x:c r="O43" s="30" t="n">
        <x:f>I43+'Parametreler'!$B$6*F43*L43</x:f>
        <x:v>-0.2</x:v>
      </x:c>
      <x:c r="P43" t="n">
        <x:f>1-L43</x:f>
        <x:v>1</x:v>
      </x:c>
    </x:row>
    <x:row r="44">
      <x:c r="A44" t="n">
        <x:f>39</x:f>
        <x:v>39</x:v>
      </x:c>
      <x:c r="B44" t="n">
        <x:f>INT((A44-1)/'Parametreler'!$B$11)+1</x:f>
        <x:v>10</x:v>
      </x:c>
      <x:c r="C44" t="n">
        <x:f>MOD(A44-1,'Parametreler'!$B$11)+1</x:f>
        <x:v>3</x:v>
      </x:c>
      <x:c r="D44" t="n">
        <x:f>INDEX('Veri Kümesi'!$B$6:$B$9,C44)</x:f>
        <x:v>1</x:v>
      </x:c>
      <x:c r="E44" t="n">
        <x:f>INDEX('Veri Kümesi'!$C$6:$C$9,C44)</x:f>
        <x:v>-1</x:v>
      </x:c>
      <x:c r="F44" t="n">
        <x:f>INDEX('Veri Kümesi'!$D$6:$D$9,C44)</x:f>
        <x:v>-1</x:v>
      </x:c>
      <x:c r="G44" s="30" t="n">
        <x:f>M43</x:f>
        <x:v>0.2</x:v>
      </x:c>
      <x:c r="H44" s="30" t="n">
        <x:f>N43</x:f>
        <x:v>0.2</x:v>
      </x:c>
      <x:c r="I44" s="30" t="n">
        <x:f>O43</x:f>
        <x:v>-0.2</x:v>
      </x:c>
      <x:c r="J44" s="30" t="n">
        <x:f>G44*D44+H44*E44+I44</x:f>
        <x:v>-0.2</x:v>
      </x:c>
      <x:c r="K44" s="30" t="n">
        <x:f>IF(J44&gt;=0,1,-1)</x:f>
        <x:v>-1</x:v>
      </x:c>
      <x:c r="L44" s="30" t="n">
        <x:f>IF(K44=F44,0,1)</x:f>
        <x:v>0</x:v>
      </x:c>
      <x:c r="M44" s="30" t="n">
        <x:f>G44+'Parametreler'!$B$6*F44*D44*L44</x:f>
        <x:v>0.2</x:v>
      </x:c>
      <x:c r="N44" s="30" t="n">
        <x:f>H44+'Parametreler'!$B$6*F44*E44*L44</x:f>
        <x:v>0.2</x:v>
      </x:c>
      <x:c r="O44" s="30" t="n">
        <x:f>I44+'Parametreler'!$B$6*F44*L44</x:f>
        <x:v>-0.2</x:v>
      </x:c>
      <x:c r="P44" t="n">
        <x:f>1-L44</x:f>
        <x:v>1</x:v>
      </x:c>
    </x:row>
    <x:row r="45">
      <x:c r="A45" t="n">
        <x:f>40</x:f>
        <x:v>40</x:v>
      </x:c>
      <x:c r="B45" t="n">
        <x:f>INT((A45-1)/'Parametreler'!$B$11)+1</x:f>
        <x:v>10</x:v>
      </x:c>
      <x:c r="C45" t="n">
        <x:f>MOD(A45-1,'Parametreler'!$B$11)+1</x:f>
        <x:v>4</x:v>
      </x:c>
      <x:c r="D45" t="n">
        <x:f>INDEX('Veri Kümesi'!$B$6:$B$9,C45)</x:f>
        <x:v>1</x:v>
      </x:c>
      <x:c r="E45" t="n">
        <x:f>INDEX('Veri Kümesi'!$C$6:$C$9,C45)</x:f>
        <x:v>1</x:v>
      </x:c>
      <x:c r="F45" t="n">
        <x:f>INDEX('Veri Kümesi'!$D$6:$D$9,C45)</x:f>
        <x:v>1</x:v>
      </x:c>
      <x:c r="G45" s="30" t="n">
        <x:f>M44</x:f>
        <x:v>0.2</x:v>
      </x:c>
      <x:c r="H45" s="30" t="n">
        <x:f>N44</x:f>
        <x:v>0.2</x:v>
      </x:c>
      <x:c r="I45" s="30" t="n">
        <x:f>O44</x:f>
        <x:v>-0.2</x:v>
      </x:c>
      <x:c r="J45" s="30" t="n">
        <x:f>G45*D45+H45*E45+I45</x:f>
        <x:v>0.2</x:v>
      </x:c>
      <x:c r="K45" s="30" t="n">
        <x:f>IF(J45&gt;=0,1,-1)</x:f>
        <x:v>1</x:v>
      </x:c>
      <x:c r="L45" s="30" t="n">
        <x:f>IF(K45=F45,0,1)</x:f>
        <x:v>0</x:v>
      </x:c>
      <x:c r="M45" s="30" t="n">
        <x:f>G45+'Parametreler'!$B$6*F45*D45*L45</x:f>
        <x:v>0.2</x:v>
      </x:c>
      <x:c r="N45" s="30" t="n">
        <x:f>H45+'Parametreler'!$B$6*F45*E45*L45</x:f>
        <x:v>0.2</x:v>
      </x:c>
      <x:c r="O45" s="30" t="n">
        <x:f>I45+'Parametreler'!$B$6*F45*L45</x:f>
        <x:v>-0.2</x:v>
      </x:c>
      <x:c r="P45" t="n">
        <x:f>1-L45</x:f>
        <x:v>1</x:v>
      </x:c>
    </x:row>
    <x:row r="46">
      <x:c r="A46" t="n">
        <x:f>41</x:f>
        <x:v>41</x:v>
      </x:c>
      <x:c r="B46" t="n">
        <x:f>INT((A46-1)/'Parametreler'!$B$11)+1</x:f>
        <x:v>11</x:v>
      </x:c>
      <x:c r="C46" t="n">
        <x:f>MOD(A46-1,'Parametreler'!$B$11)+1</x:f>
        <x:v>1</x:v>
      </x:c>
      <x:c r="D46" t="n">
        <x:f>INDEX('Veri Kümesi'!$B$6:$B$9,C46)</x:f>
        <x:v>-1</x:v>
      </x:c>
      <x:c r="E46" t="n">
        <x:f>INDEX('Veri Kümesi'!$C$6:$C$9,C46)</x:f>
        <x:v>-1</x:v>
      </x:c>
      <x:c r="F46" t="n">
        <x:f>INDEX('Veri Kümesi'!$D$6:$D$9,C46)</x:f>
        <x:v>-1</x:v>
      </x:c>
      <x:c r="G46" s="30" t="n">
        <x:f>M45</x:f>
        <x:v>0.2</x:v>
      </x:c>
      <x:c r="H46" s="30" t="n">
        <x:f>N45</x:f>
        <x:v>0.2</x:v>
      </x:c>
      <x:c r="I46" s="30" t="n">
        <x:f>O45</x:f>
        <x:v>-0.2</x:v>
      </x:c>
      <x:c r="J46" s="30" t="n">
        <x:f>G46*D46+H46*E46+I46</x:f>
        <x:v>-0.6000000000000001</x:v>
      </x:c>
      <x:c r="K46" s="30" t="n">
        <x:f>IF(J46&gt;=0,1,-1)</x:f>
        <x:v>-1</x:v>
      </x:c>
      <x:c r="L46" s="30" t="n">
        <x:f>IF(K46=F46,0,1)</x:f>
        <x:v>0</x:v>
      </x:c>
      <x:c r="M46" s="30" t="n">
        <x:f>G46+'Parametreler'!$B$6*F46*D46*L46</x:f>
        <x:v>0.2</x:v>
      </x:c>
      <x:c r="N46" s="30" t="n">
        <x:f>H46+'Parametreler'!$B$6*F46*E46*L46</x:f>
        <x:v>0.2</x:v>
      </x:c>
      <x:c r="O46" s="30" t="n">
        <x:f>I46+'Parametreler'!$B$6*F46*L46</x:f>
        <x:v>-0.2</x:v>
      </x:c>
      <x:c r="P46" t="n">
        <x:f>1-L46</x:f>
        <x:v>1</x:v>
      </x:c>
    </x:row>
    <x:row r="47">
      <x:c r="A47" t="n">
        <x:f>42</x:f>
        <x:v>42</x:v>
      </x:c>
      <x:c r="B47" t="n">
        <x:f>INT((A47-1)/'Parametreler'!$B$11)+1</x:f>
        <x:v>11</x:v>
      </x:c>
      <x:c r="C47" t="n">
        <x:f>MOD(A47-1,'Parametreler'!$B$11)+1</x:f>
        <x:v>2</x:v>
      </x:c>
      <x:c r="D47" t="n">
        <x:f>INDEX('Veri Kümesi'!$B$6:$B$9,C47)</x:f>
        <x:v>-1</x:v>
      </x:c>
      <x:c r="E47" t="n">
        <x:f>INDEX('Veri Kümesi'!$C$6:$C$9,C47)</x:f>
        <x:v>1</x:v>
      </x:c>
      <x:c r="F47" t="n">
        <x:f>INDEX('Veri Kümesi'!$D$6:$D$9,C47)</x:f>
        <x:v>-1</x:v>
      </x:c>
      <x:c r="G47" s="30" t="n">
        <x:f>M46</x:f>
        <x:v>0.2</x:v>
      </x:c>
      <x:c r="H47" s="30" t="n">
        <x:f>N46</x:f>
        <x:v>0.2</x:v>
      </x:c>
      <x:c r="I47" s="30" t="n">
        <x:f>O46</x:f>
        <x:v>-0.2</x:v>
      </x:c>
      <x:c r="J47" s="30" t="n">
        <x:f>G47*D47+H47*E47+I47</x:f>
        <x:v>-0.2</x:v>
      </x:c>
      <x:c r="K47" s="30" t="n">
        <x:f>IF(J47&gt;=0,1,-1)</x:f>
        <x:v>-1</x:v>
      </x:c>
      <x:c r="L47" s="30" t="n">
        <x:f>IF(K47=F47,0,1)</x:f>
        <x:v>0</x:v>
      </x:c>
      <x:c r="M47" s="30" t="n">
        <x:f>G47+'Parametreler'!$B$6*F47*D47*L47</x:f>
        <x:v>0.2</x:v>
      </x:c>
      <x:c r="N47" s="30" t="n">
        <x:f>H47+'Parametreler'!$B$6*F47*E47*L47</x:f>
        <x:v>0.2</x:v>
      </x:c>
      <x:c r="O47" s="30" t="n">
        <x:f>I47+'Parametreler'!$B$6*F47*L47</x:f>
        <x:v>-0.2</x:v>
      </x:c>
      <x:c r="P47" t="n">
        <x:f>1-L47</x:f>
        <x:v>1</x:v>
      </x:c>
    </x:row>
    <x:row r="48">
      <x:c r="A48" t="n">
        <x:f>43</x:f>
        <x:v>43</x:v>
      </x:c>
      <x:c r="B48" t="n">
        <x:f>INT((A48-1)/'Parametreler'!$B$11)+1</x:f>
        <x:v>11</x:v>
      </x:c>
      <x:c r="C48" t="n">
        <x:f>MOD(A48-1,'Parametreler'!$B$11)+1</x:f>
        <x:v>3</x:v>
      </x:c>
      <x:c r="D48" t="n">
        <x:f>INDEX('Veri Kümesi'!$B$6:$B$9,C48)</x:f>
        <x:v>1</x:v>
      </x:c>
      <x:c r="E48" t="n">
        <x:f>INDEX('Veri Kümesi'!$C$6:$C$9,C48)</x:f>
        <x:v>-1</x:v>
      </x:c>
      <x:c r="F48" t="n">
        <x:f>INDEX('Veri Kümesi'!$D$6:$D$9,C48)</x:f>
        <x:v>-1</x:v>
      </x:c>
      <x:c r="G48" s="30" t="n">
        <x:f>M47</x:f>
        <x:v>0.2</x:v>
      </x:c>
      <x:c r="H48" s="30" t="n">
        <x:f>N47</x:f>
        <x:v>0.2</x:v>
      </x:c>
      <x:c r="I48" s="30" t="n">
        <x:f>O47</x:f>
        <x:v>-0.2</x:v>
      </x:c>
      <x:c r="J48" s="30" t="n">
        <x:f>G48*D48+H48*E48+I48</x:f>
        <x:v>-0.2</x:v>
      </x:c>
      <x:c r="K48" s="30" t="n">
        <x:f>IF(J48&gt;=0,1,-1)</x:f>
        <x:v>-1</x:v>
      </x:c>
      <x:c r="L48" s="30" t="n">
        <x:f>IF(K48=F48,0,1)</x:f>
        <x:v>0</x:v>
      </x:c>
      <x:c r="M48" s="30" t="n">
        <x:f>G48+'Parametreler'!$B$6*F48*D48*L48</x:f>
        <x:v>0.2</x:v>
      </x:c>
      <x:c r="N48" s="30" t="n">
        <x:f>H48+'Parametreler'!$B$6*F48*E48*L48</x:f>
        <x:v>0.2</x:v>
      </x:c>
      <x:c r="O48" s="30" t="n">
        <x:f>I48+'Parametreler'!$B$6*F48*L48</x:f>
        <x:v>-0.2</x:v>
      </x:c>
      <x:c r="P48" t="n">
        <x:f>1-L48</x:f>
        <x:v>1</x:v>
      </x:c>
    </x:row>
    <x:row r="49">
      <x:c r="A49" t="n">
        <x:f>44</x:f>
        <x:v>44</x:v>
      </x:c>
      <x:c r="B49" t="n">
        <x:f>INT((A49-1)/'Parametreler'!$B$11)+1</x:f>
        <x:v>11</x:v>
      </x:c>
      <x:c r="C49" t="n">
        <x:f>MOD(A49-1,'Parametreler'!$B$11)+1</x:f>
        <x:v>4</x:v>
      </x:c>
      <x:c r="D49" t="n">
        <x:f>INDEX('Veri Kümesi'!$B$6:$B$9,C49)</x:f>
        <x:v>1</x:v>
      </x:c>
      <x:c r="E49" t="n">
        <x:f>INDEX('Veri Kümesi'!$C$6:$C$9,C49)</x:f>
        <x:v>1</x:v>
      </x:c>
      <x:c r="F49" t="n">
        <x:f>INDEX('Veri Kümesi'!$D$6:$D$9,C49)</x:f>
        <x:v>1</x:v>
      </x:c>
      <x:c r="G49" s="30" t="n">
        <x:f>M48</x:f>
        <x:v>0.2</x:v>
      </x:c>
      <x:c r="H49" s="30" t="n">
        <x:f>N48</x:f>
        <x:v>0.2</x:v>
      </x:c>
      <x:c r="I49" s="30" t="n">
        <x:f>O48</x:f>
        <x:v>-0.2</x:v>
      </x:c>
      <x:c r="J49" s="30" t="n">
        <x:f>G49*D49+H49*E49+I49</x:f>
        <x:v>0.2</x:v>
      </x:c>
      <x:c r="K49" s="30" t="n">
        <x:f>IF(J49&gt;=0,1,-1)</x:f>
        <x:v>1</x:v>
      </x:c>
      <x:c r="L49" s="30" t="n">
        <x:f>IF(K49=F49,0,1)</x:f>
        <x:v>0</x:v>
      </x:c>
      <x:c r="M49" s="30" t="n">
        <x:f>G49+'Parametreler'!$B$6*F49*D49*L49</x:f>
        <x:v>0.2</x:v>
      </x:c>
      <x:c r="N49" s="30" t="n">
        <x:f>H49+'Parametreler'!$B$6*F49*E49*L49</x:f>
        <x:v>0.2</x:v>
      </x:c>
      <x:c r="O49" s="30" t="n">
        <x:f>I49+'Parametreler'!$B$6*F49*L49</x:f>
        <x:v>-0.2</x:v>
      </x:c>
      <x:c r="P49" t="n">
        <x:f>1-L49</x:f>
        <x:v>1</x:v>
      </x:c>
    </x:row>
    <x:row r="50">
      <x:c r="A50" t="n">
        <x:f>45</x:f>
        <x:v>45</x:v>
      </x:c>
      <x:c r="B50" t="n">
        <x:f>INT((A50-1)/'Parametreler'!$B$11)+1</x:f>
        <x:v>12</x:v>
      </x:c>
      <x:c r="C50" t="n">
        <x:f>MOD(A50-1,'Parametreler'!$B$11)+1</x:f>
        <x:v>1</x:v>
      </x:c>
      <x:c r="D50" t="n">
        <x:f>INDEX('Veri Kümesi'!$B$6:$B$9,C50)</x:f>
        <x:v>-1</x:v>
      </x:c>
      <x:c r="E50" t="n">
        <x:f>INDEX('Veri Kümesi'!$C$6:$C$9,C50)</x:f>
        <x:v>-1</x:v>
      </x:c>
      <x:c r="F50" t="n">
        <x:f>INDEX('Veri Kümesi'!$D$6:$D$9,C50)</x:f>
        <x:v>-1</x:v>
      </x:c>
      <x:c r="G50" s="30" t="n">
        <x:f>M49</x:f>
        <x:v>0.2</x:v>
      </x:c>
      <x:c r="H50" s="30" t="n">
        <x:f>N49</x:f>
        <x:v>0.2</x:v>
      </x:c>
      <x:c r="I50" s="30" t="n">
        <x:f>O49</x:f>
        <x:v>-0.2</x:v>
      </x:c>
      <x:c r="J50" s="30" t="n">
        <x:f>G50*D50+H50*E50+I50</x:f>
        <x:v>-0.6000000000000001</x:v>
      </x:c>
      <x:c r="K50" s="30" t="n">
        <x:f>IF(J50&gt;=0,1,-1)</x:f>
        <x:v>-1</x:v>
      </x:c>
      <x:c r="L50" s="30" t="n">
        <x:f>IF(K50=F50,0,1)</x:f>
        <x:v>0</x:v>
      </x:c>
      <x:c r="M50" s="30" t="n">
        <x:f>G50+'Parametreler'!$B$6*F50*D50*L50</x:f>
        <x:v>0.2</x:v>
      </x:c>
      <x:c r="N50" s="30" t="n">
        <x:f>H50+'Parametreler'!$B$6*F50*E50*L50</x:f>
        <x:v>0.2</x:v>
      </x:c>
      <x:c r="O50" s="30" t="n">
        <x:f>I50+'Parametreler'!$B$6*F50*L50</x:f>
        <x:v>-0.2</x:v>
      </x:c>
      <x:c r="P50" t="n">
        <x:f>1-L50</x:f>
        <x:v>1</x:v>
      </x:c>
    </x:row>
    <x:row r="51">
      <x:c r="A51" t="n">
        <x:f>46</x:f>
        <x:v>46</x:v>
      </x:c>
      <x:c r="B51" t="n">
        <x:f>INT((A51-1)/'Parametreler'!$B$11)+1</x:f>
        <x:v>12</x:v>
      </x:c>
      <x:c r="C51" t="n">
        <x:f>MOD(A51-1,'Parametreler'!$B$11)+1</x:f>
        <x:v>2</x:v>
      </x:c>
      <x:c r="D51" t="n">
        <x:f>INDEX('Veri Kümesi'!$B$6:$B$9,C51)</x:f>
        <x:v>-1</x:v>
      </x:c>
      <x:c r="E51" t="n">
        <x:f>INDEX('Veri Kümesi'!$C$6:$C$9,C51)</x:f>
        <x:v>1</x:v>
      </x:c>
      <x:c r="F51" t="n">
        <x:f>INDEX('Veri Kümesi'!$D$6:$D$9,C51)</x:f>
        <x:v>-1</x:v>
      </x:c>
      <x:c r="G51" s="30" t="n">
        <x:f>M50</x:f>
        <x:v>0.2</x:v>
      </x:c>
      <x:c r="H51" s="30" t="n">
        <x:f>N50</x:f>
        <x:v>0.2</x:v>
      </x:c>
      <x:c r="I51" s="30" t="n">
        <x:f>O50</x:f>
        <x:v>-0.2</x:v>
      </x:c>
      <x:c r="J51" s="30" t="n">
        <x:f>G51*D51+H51*E51+I51</x:f>
        <x:v>-0.2</x:v>
      </x:c>
      <x:c r="K51" s="30" t="n">
        <x:f>IF(J51&gt;=0,1,-1)</x:f>
        <x:v>-1</x:v>
      </x:c>
      <x:c r="L51" s="30" t="n">
        <x:f>IF(K51=F51,0,1)</x:f>
        <x:v>0</x:v>
      </x:c>
      <x:c r="M51" s="30" t="n">
        <x:f>G51+'Parametreler'!$B$6*F51*D51*L51</x:f>
        <x:v>0.2</x:v>
      </x:c>
      <x:c r="N51" s="30" t="n">
        <x:f>H51+'Parametreler'!$B$6*F51*E51*L51</x:f>
        <x:v>0.2</x:v>
      </x:c>
      <x:c r="O51" s="30" t="n">
        <x:f>I51+'Parametreler'!$B$6*F51*L51</x:f>
        <x:v>-0.2</x:v>
      </x:c>
      <x:c r="P51" t="n">
        <x:f>1-L51</x:f>
        <x:v>1</x:v>
      </x:c>
    </x:row>
    <x:row r="52">
      <x:c r="A52" t="n">
        <x:f>47</x:f>
        <x:v>47</x:v>
      </x:c>
      <x:c r="B52" t="n">
        <x:f>INT((A52-1)/'Parametreler'!$B$11)+1</x:f>
        <x:v>12</x:v>
      </x:c>
      <x:c r="C52" t="n">
        <x:f>MOD(A52-1,'Parametreler'!$B$11)+1</x:f>
        <x:v>3</x:v>
      </x:c>
      <x:c r="D52" t="n">
        <x:f>INDEX('Veri Kümesi'!$B$6:$B$9,C52)</x:f>
        <x:v>1</x:v>
      </x:c>
      <x:c r="E52" t="n">
        <x:f>INDEX('Veri Kümesi'!$C$6:$C$9,C52)</x:f>
        <x:v>-1</x:v>
      </x:c>
      <x:c r="F52" t="n">
        <x:f>INDEX('Veri Kümesi'!$D$6:$D$9,C52)</x:f>
        <x:v>-1</x:v>
      </x:c>
      <x:c r="G52" s="30" t="n">
        <x:f>M51</x:f>
        <x:v>0.2</x:v>
      </x:c>
      <x:c r="H52" s="30" t="n">
        <x:f>N51</x:f>
        <x:v>0.2</x:v>
      </x:c>
      <x:c r="I52" s="30" t="n">
        <x:f>O51</x:f>
        <x:v>-0.2</x:v>
      </x:c>
      <x:c r="J52" s="30" t="n">
        <x:f>G52*D52+H52*E52+I52</x:f>
        <x:v>-0.2</x:v>
      </x:c>
      <x:c r="K52" s="30" t="n">
        <x:f>IF(J52&gt;=0,1,-1)</x:f>
        <x:v>-1</x:v>
      </x:c>
      <x:c r="L52" s="30" t="n">
        <x:f>IF(K52=F52,0,1)</x:f>
        <x:v>0</x:v>
      </x:c>
      <x:c r="M52" s="30" t="n">
        <x:f>G52+'Parametreler'!$B$6*F52*D52*L52</x:f>
        <x:v>0.2</x:v>
      </x:c>
      <x:c r="N52" s="30" t="n">
        <x:f>H52+'Parametreler'!$B$6*F52*E52*L52</x:f>
        <x:v>0.2</x:v>
      </x:c>
      <x:c r="O52" s="30" t="n">
        <x:f>I52+'Parametreler'!$B$6*F52*L52</x:f>
        <x:v>-0.2</x:v>
      </x:c>
      <x:c r="P52" t="n">
        <x:f>1-L52</x:f>
        <x:v>1</x:v>
      </x:c>
    </x:row>
    <x:row r="53">
      <x:c r="A53" t="n">
        <x:f>48</x:f>
        <x:v>48</x:v>
      </x:c>
      <x:c r="B53" t="n">
        <x:f>INT((A53-1)/'Parametreler'!$B$11)+1</x:f>
        <x:v>12</x:v>
      </x:c>
      <x:c r="C53" t="n">
        <x:f>MOD(A53-1,'Parametreler'!$B$11)+1</x:f>
        <x:v>4</x:v>
      </x:c>
      <x:c r="D53" t="n">
        <x:f>INDEX('Veri Kümesi'!$B$6:$B$9,C53)</x:f>
        <x:v>1</x:v>
      </x:c>
      <x:c r="E53" t="n">
        <x:f>INDEX('Veri Kümesi'!$C$6:$C$9,C53)</x:f>
        <x:v>1</x:v>
      </x:c>
      <x:c r="F53" t="n">
        <x:f>INDEX('Veri Kümesi'!$D$6:$D$9,C53)</x:f>
        <x:v>1</x:v>
      </x:c>
      <x:c r="G53" s="30" t="n">
        <x:f>M52</x:f>
        <x:v>0.2</x:v>
      </x:c>
      <x:c r="H53" s="30" t="n">
        <x:f>N52</x:f>
        <x:v>0.2</x:v>
      </x:c>
      <x:c r="I53" s="30" t="n">
        <x:f>O52</x:f>
        <x:v>-0.2</x:v>
      </x:c>
      <x:c r="J53" s="30" t="n">
        <x:f>G53*D53+H53*E53+I53</x:f>
        <x:v>0.2</x:v>
      </x:c>
      <x:c r="K53" s="30" t="n">
        <x:f>IF(J53&gt;=0,1,-1)</x:f>
        <x:v>1</x:v>
      </x:c>
      <x:c r="L53" s="30" t="n">
        <x:f>IF(K53=F53,0,1)</x:f>
        <x:v>0</x:v>
      </x:c>
      <x:c r="M53" s="30" t="n">
        <x:f>G53+'Parametreler'!$B$6*F53*D53*L53</x:f>
        <x:v>0.2</x:v>
      </x:c>
      <x:c r="N53" s="30" t="n">
        <x:f>H53+'Parametreler'!$B$6*F53*E53*L53</x:f>
        <x:v>0.2</x:v>
      </x:c>
      <x:c r="O53" s="30" t="n">
        <x:f>I53+'Parametreler'!$B$6*F53*L53</x:f>
        <x:v>-0.2</x:v>
      </x:c>
      <x:c r="P53" t="n">
        <x:f>1-L53</x:f>
        <x:v>1</x:v>
      </x:c>
    </x:row>
    <x:row r="54">
      <x:c r="A54" t="n">
        <x:f>49</x:f>
        <x:v>49</x:v>
      </x:c>
      <x:c r="B54" t="n">
        <x:f>INT((A54-1)/'Parametreler'!$B$11)+1</x:f>
        <x:v>13</x:v>
      </x:c>
      <x:c r="C54" t="n">
        <x:f>MOD(A54-1,'Parametreler'!$B$11)+1</x:f>
        <x:v>1</x:v>
      </x:c>
      <x:c r="D54" t="n">
        <x:f>INDEX('Veri Kümesi'!$B$6:$B$9,C54)</x:f>
        <x:v>-1</x:v>
      </x:c>
      <x:c r="E54" t="n">
        <x:f>INDEX('Veri Kümesi'!$C$6:$C$9,C54)</x:f>
        <x:v>-1</x:v>
      </x:c>
      <x:c r="F54" t="n">
        <x:f>INDEX('Veri Kümesi'!$D$6:$D$9,C54)</x:f>
        <x:v>-1</x:v>
      </x:c>
      <x:c r="G54" s="30" t="n">
        <x:f>M53</x:f>
        <x:v>0.2</x:v>
      </x:c>
      <x:c r="H54" s="30" t="n">
        <x:f>N53</x:f>
        <x:v>0.2</x:v>
      </x:c>
      <x:c r="I54" s="30" t="n">
        <x:f>O53</x:f>
        <x:v>-0.2</x:v>
      </x:c>
      <x:c r="J54" s="30" t="n">
        <x:f>G54*D54+H54*E54+I54</x:f>
        <x:v>-0.6000000000000001</x:v>
      </x:c>
      <x:c r="K54" s="30" t="n">
        <x:f>IF(J54&gt;=0,1,-1)</x:f>
        <x:v>-1</x:v>
      </x:c>
      <x:c r="L54" s="30" t="n">
        <x:f>IF(K54=F54,0,1)</x:f>
        <x:v>0</x:v>
      </x:c>
      <x:c r="M54" s="30" t="n">
        <x:f>G54+'Parametreler'!$B$6*F54*D54*L54</x:f>
        <x:v>0.2</x:v>
      </x:c>
      <x:c r="N54" s="30" t="n">
        <x:f>H54+'Parametreler'!$B$6*F54*E54*L54</x:f>
        <x:v>0.2</x:v>
      </x:c>
      <x:c r="O54" s="30" t="n">
        <x:f>I54+'Parametreler'!$B$6*F54*L54</x:f>
        <x:v>-0.2</x:v>
      </x:c>
      <x:c r="P54" t="n">
        <x:f>1-L54</x:f>
        <x:v>1</x:v>
      </x:c>
    </x:row>
    <x:row r="55">
      <x:c r="A55" t="n">
        <x:f>50</x:f>
        <x:v>50</x:v>
      </x:c>
      <x:c r="B55" t="n">
        <x:f>INT((A55-1)/'Parametreler'!$B$11)+1</x:f>
        <x:v>13</x:v>
      </x:c>
      <x:c r="C55" t="n">
        <x:f>MOD(A55-1,'Parametreler'!$B$11)+1</x:f>
        <x:v>2</x:v>
      </x:c>
      <x:c r="D55" t="n">
        <x:f>INDEX('Veri Kümesi'!$B$6:$B$9,C55)</x:f>
        <x:v>-1</x:v>
      </x:c>
      <x:c r="E55" t="n">
        <x:f>INDEX('Veri Kümesi'!$C$6:$C$9,C55)</x:f>
        <x:v>1</x:v>
      </x:c>
      <x:c r="F55" t="n">
        <x:f>INDEX('Veri Kümesi'!$D$6:$D$9,C55)</x:f>
        <x:v>-1</x:v>
      </x:c>
      <x:c r="G55" s="30" t="n">
        <x:f>M54</x:f>
        <x:v>0.2</x:v>
      </x:c>
      <x:c r="H55" s="30" t="n">
        <x:f>N54</x:f>
        <x:v>0.2</x:v>
      </x:c>
      <x:c r="I55" s="30" t="n">
        <x:f>O54</x:f>
        <x:v>-0.2</x:v>
      </x:c>
      <x:c r="J55" s="30" t="n">
        <x:f>G55*D55+H55*E55+I55</x:f>
        <x:v>-0.2</x:v>
      </x:c>
      <x:c r="K55" s="30" t="n">
        <x:f>IF(J55&gt;=0,1,-1)</x:f>
        <x:v>-1</x:v>
      </x:c>
      <x:c r="L55" s="30" t="n">
        <x:f>IF(K55=F55,0,1)</x:f>
        <x:v>0</x:v>
      </x:c>
      <x:c r="M55" s="30" t="n">
        <x:f>G55+'Parametreler'!$B$6*F55*D55*L55</x:f>
        <x:v>0.2</x:v>
      </x:c>
      <x:c r="N55" s="30" t="n">
        <x:f>H55+'Parametreler'!$B$6*F55*E55*L55</x:f>
        <x:v>0.2</x:v>
      </x:c>
      <x:c r="O55" s="30" t="n">
        <x:f>I55+'Parametreler'!$B$6*F55*L55</x:f>
        <x:v>-0.2</x:v>
      </x:c>
      <x:c r="P55" t="n">
        <x:f>1-L55</x:f>
        <x:v>1</x:v>
      </x:c>
    </x:row>
    <x:row r="56">
      <x:c r="A56" t="n">
        <x:f>51</x:f>
        <x:v>51</x:v>
      </x:c>
      <x:c r="B56" t="n">
        <x:f>INT((A56-1)/'Parametreler'!$B$11)+1</x:f>
        <x:v>13</x:v>
      </x:c>
      <x:c r="C56" t="n">
        <x:f>MOD(A56-1,'Parametreler'!$B$11)+1</x:f>
        <x:v>3</x:v>
      </x:c>
      <x:c r="D56" t="n">
        <x:f>INDEX('Veri Kümesi'!$B$6:$B$9,C56)</x:f>
        <x:v>1</x:v>
      </x:c>
      <x:c r="E56" t="n">
        <x:f>INDEX('Veri Kümesi'!$C$6:$C$9,C56)</x:f>
        <x:v>-1</x:v>
      </x:c>
      <x:c r="F56" t="n">
        <x:f>INDEX('Veri Kümesi'!$D$6:$D$9,C56)</x:f>
        <x:v>-1</x:v>
      </x:c>
      <x:c r="G56" s="30" t="n">
        <x:f>M55</x:f>
        <x:v>0.2</x:v>
      </x:c>
      <x:c r="H56" s="30" t="n">
        <x:f>N55</x:f>
        <x:v>0.2</x:v>
      </x:c>
      <x:c r="I56" s="30" t="n">
        <x:f>O55</x:f>
        <x:v>-0.2</x:v>
      </x:c>
      <x:c r="J56" s="30" t="n">
        <x:f>G56*D56+H56*E56+I56</x:f>
        <x:v>-0.2</x:v>
      </x:c>
      <x:c r="K56" s="30" t="n">
        <x:f>IF(J56&gt;=0,1,-1)</x:f>
        <x:v>-1</x:v>
      </x:c>
      <x:c r="L56" s="30" t="n">
        <x:f>IF(K56=F56,0,1)</x:f>
        <x:v>0</x:v>
      </x:c>
      <x:c r="M56" s="30" t="n">
        <x:f>G56+'Parametreler'!$B$6*F56*D56*L56</x:f>
        <x:v>0.2</x:v>
      </x:c>
      <x:c r="N56" s="30" t="n">
        <x:f>H56+'Parametreler'!$B$6*F56*E56*L56</x:f>
        <x:v>0.2</x:v>
      </x:c>
      <x:c r="O56" s="30" t="n">
        <x:f>I56+'Parametreler'!$B$6*F56*L56</x:f>
        <x:v>-0.2</x:v>
      </x:c>
      <x:c r="P56" t="n">
        <x:f>1-L56</x:f>
        <x:v>1</x:v>
      </x:c>
    </x:row>
    <x:row r="57">
      <x:c r="A57" t="n">
        <x:f>52</x:f>
        <x:v>52</x:v>
      </x:c>
      <x:c r="B57" t="n">
        <x:f>INT((A57-1)/'Parametreler'!$B$11)+1</x:f>
        <x:v>13</x:v>
      </x:c>
      <x:c r="C57" t="n">
        <x:f>MOD(A57-1,'Parametreler'!$B$11)+1</x:f>
        <x:v>4</x:v>
      </x:c>
      <x:c r="D57" t="n">
        <x:f>INDEX('Veri Kümesi'!$B$6:$B$9,C57)</x:f>
        <x:v>1</x:v>
      </x:c>
      <x:c r="E57" t="n">
        <x:f>INDEX('Veri Kümesi'!$C$6:$C$9,C57)</x:f>
        <x:v>1</x:v>
      </x:c>
      <x:c r="F57" t="n">
        <x:f>INDEX('Veri Kümesi'!$D$6:$D$9,C57)</x:f>
        <x:v>1</x:v>
      </x:c>
      <x:c r="G57" s="30" t="n">
        <x:f>M56</x:f>
        <x:v>0.2</x:v>
      </x:c>
      <x:c r="H57" s="30" t="n">
        <x:f>N56</x:f>
        <x:v>0.2</x:v>
      </x:c>
      <x:c r="I57" s="30" t="n">
        <x:f>O56</x:f>
        <x:v>-0.2</x:v>
      </x:c>
      <x:c r="J57" s="30" t="n">
        <x:f>G57*D57+H57*E57+I57</x:f>
        <x:v>0.2</x:v>
      </x:c>
      <x:c r="K57" s="30" t="n">
        <x:f>IF(J57&gt;=0,1,-1)</x:f>
        <x:v>1</x:v>
      </x:c>
      <x:c r="L57" s="30" t="n">
        <x:f>IF(K57=F57,0,1)</x:f>
        <x:v>0</x:v>
      </x:c>
      <x:c r="M57" s="30" t="n">
        <x:f>G57+'Parametreler'!$B$6*F57*D57*L57</x:f>
        <x:v>0.2</x:v>
      </x:c>
      <x:c r="N57" s="30" t="n">
        <x:f>H57+'Parametreler'!$B$6*F57*E57*L57</x:f>
        <x:v>0.2</x:v>
      </x:c>
      <x:c r="O57" s="30" t="n">
        <x:f>I57+'Parametreler'!$B$6*F57*L57</x:f>
        <x:v>-0.2</x:v>
      </x:c>
      <x:c r="P57" t="n">
        <x:f>1-L57</x:f>
        <x:v>1</x:v>
      </x:c>
    </x:row>
    <x:row r="58">
      <x:c r="A58" t="n">
        <x:f>53</x:f>
        <x:v>53</x:v>
      </x:c>
      <x:c r="B58" t="n">
        <x:f>INT((A58-1)/'Parametreler'!$B$11)+1</x:f>
        <x:v>14</x:v>
      </x:c>
      <x:c r="C58" t="n">
        <x:f>MOD(A58-1,'Parametreler'!$B$11)+1</x:f>
        <x:v>1</x:v>
      </x:c>
      <x:c r="D58" t="n">
        <x:f>INDEX('Veri Kümesi'!$B$6:$B$9,C58)</x:f>
        <x:v>-1</x:v>
      </x:c>
      <x:c r="E58" t="n">
        <x:f>INDEX('Veri Kümesi'!$C$6:$C$9,C58)</x:f>
        <x:v>-1</x:v>
      </x:c>
      <x:c r="F58" t="n">
        <x:f>INDEX('Veri Kümesi'!$D$6:$D$9,C58)</x:f>
        <x:v>-1</x:v>
      </x:c>
      <x:c r="G58" s="30" t="n">
        <x:f>M57</x:f>
        <x:v>0.2</x:v>
      </x:c>
      <x:c r="H58" s="30" t="n">
        <x:f>N57</x:f>
        <x:v>0.2</x:v>
      </x:c>
      <x:c r="I58" s="30" t="n">
        <x:f>O57</x:f>
        <x:v>-0.2</x:v>
      </x:c>
      <x:c r="J58" s="30" t="n">
        <x:f>G58*D58+H58*E58+I58</x:f>
        <x:v>-0.6000000000000001</x:v>
      </x:c>
      <x:c r="K58" s="30" t="n">
        <x:f>IF(J58&gt;=0,1,-1)</x:f>
        <x:v>-1</x:v>
      </x:c>
      <x:c r="L58" s="30" t="n">
        <x:f>IF(K58=F58,0,1)</x:f>
        <x:v>0</x:v>
      </x:c>
      <x:c r="M58" s="30" t="n">
        <x:f>G58+'Parametreler'!$B$6*F58*D58*L58</x:f>
        <x:v>0.2</x:v>
      </x:c>
      <x:c r="N58" s="30" t="n">
        <x:f>H58+'Parametreler'!$B$6*F58*E58*L58</x:f>
        <x:v>0.2</x:v>
      </x:c>
      <x:c r="O58" s="30" t="n">
        <x:f>I58+'Parametreler'!$B$6*F58*L58</x:f>
        <x:v>-0.2</x:v>
      </x:c>
      <x:c r="P58" t="n">
        <x:f>1-L58</x:f>
        <x:v>1</x:v>
      </x:c>
    </x:row>
    <x:row r="59">
      <x:c r="A59" t="n">
        <x:f>54</x:f>
        <x:v>54</x:v>
      </x:c>
      <x:c r="B59" t="n">
        <x:f>INT((A59-1)/'Parametreler'!$B$11)+1</x:f>
        <x:v>14</x:v>
      </x:c>
      <x:c r="C59" t="n">
        <x:f>MOD(A59-1,'Parametreler'!$B$11)+1</x:f>
        <x:v>2</x:v>
      </x:c>
      <x:c r="D59" t="n">
        <x:f>INDEX('Veri Kümesi'!$B$6:$B$9,C59)</x:f>
        <x:v>-1</x:v>
      </x:c>
      <x:c r="E59" t="n">
        <x:f>INDEX('Veri Kümesi'!$C$6:$C$9,C59)</x:f>
        <x:v>1</x:v>
      </x:c>
      <x:c r="F59" t="n">
        <x:f>INDEX('Veri Kümesi'!$D$6:$D$9,C59)</x:f>
        <x:v>-1</x:v>
      </x:c>
      <x:c r="G59" s="30" t="n">
        <x:f>M58</x:f>
        <x:v>0.2</x:v>
      </x:c>
      <x:c r="H59" s="30" t="n">
        <x:f>N58</x:f>
        <x:v>0.2</x:v>
      </x:c>
      <x:c r="I59" s="30" t="n">
        <x:f>O58</x:f>
        <x:v>-0.2</x:v>
      </x:c>
      <x:c r="J59" s="30" t="n">
        <x:f>G59*D59+H59*E59+I59</x:f>
        <x:v>-0.2</x:v>
      </x:c>
      <x:c r="K59" s="30" t="n">
        <x:f>IF(J59&gt;=0,1,-1)</x:f>
        <x:v>-1</x:v>
      </x:c>
      <x:c r="L59" s="30" t="n">
        <x:f>IF(K59=F59,0,1)</x:f>
        <x:v>0</x:v>
      </x:c>
      <x:c r="M59" s="30" t="n">
        <x:f>G59+'Parametreler'!$B$6*F59*D59*L59</x:f>
        <x:v>0.2</x:v>
      </x:c>
      <x:c r="N59" s="30" t="n">
        <x:f>H59+'Parametreler'!$B$6*F59*E59*L59</x:f>
        <x:v>0.2</x:v>
      </x:c>
      <x:c r="O59" s="30" t="n">
        <x:f>I59+'Parametreler'!$B$6*F59*L59</x:f>
        <x:v>-0.2</x:v>
      </x:c>
      <x:c r="P59" t="n">
        <x:f>1-L59</x:f>
        <x:v>1</x:v>
      </x:c>
    </x:row>
    <x:row r="60">
      <x:c r="A60" t="n">
        <x:f>55</x:f>
        <x:v>55</x:v>
      </x:c>
      <x:c r="B60" t="n">
        <x:f>INT((A60-1)/'Parametreler'!$B$11)+1</x:f>
        <x:v>14</x:v>
      </x:c>
      <x:c r="C60" t="n">
        <x:f>MOD(A60-1,'Parametreler'!$B$11)+1</x:f>
        <x:v>3</x:v>
      </x:c>
      <x:c r="D60" t="n">
        <x:f>INDEX('Veri Kümesi'!$B$6:$B$9,C60)</x:f>
        <x:v>1</x:v>
      </x:c>
      <x:c r="E60" t="n">
        <x:f>INDEX('Veri Kümesi'!$C$6:$C$9,C60)</x:f>
        <x:v>-1</x:v>
      </x:c>
      <x:c r="F60" t="n">
        <x:f>INDEX('Veri Kümesi'!$D$6:$D$9,C60)</x:f>
        <x:v>-1</x:v>
      </x:c>
      <x:c r="G60" s="30" t="n">
        <x:f>M59</x:f>
        <x:v>0.2</x:v>
      </x:c>
      <x:c r="H60" s="30" t="n">
        <x:f>N59</x:f>
        <x:v>0.2</x:v>
      </x:c>
      <x:c r="I60" s="30" t="n">
        <x:f>O59</x:f>
        <x:v>-0.2</x:v>
      </x:c>
      <x:c r="J60" s="30" t="n">
        <x:f>G60*D60+H60*E60+I60</x:f>
        <x:v>-0.2</x:v>
      </x:c>
      <x:c r="K60" s="30" t="n">
        <x:f>IF(J60&gt;=0,1,-1)</x:f>
        <x:v>-1</x:v>
      </x:c>
      <x:c r="L60" s="30" t="n">
        <x:f>IF(K60=F60,0,1)</x:f>
        <x:v>0</x:v>
      </x:c>
      <x:c r="M60" s="30" t="n">
        <x:f>G60+'Parametreler'!$B$6*F60*D60*L60</x:f>
        <x:v>0.2</x:v>
      </x:c>
      <x:c r="N60" s="30" t="n">
        <x:f>H60+'Parametreler'!$B$6*F60*E60*L60</x:f>
        <x:v>0.2</x:v>
      </x:c>
      <x:c r="O60" s="30" t="n">
        <x:f>I60+'Parametreler'!$B$6*F60*L60</x:f>
        <x:v>-0.2</x:v>
      </x:c>
      <x:c r="P60" t="n">
        <x:f>1-L60</x:f>
        <x:v>1</x:v>
      </x:c>
    </x:row>
    <x:row r="61">
      <x:c r="A61" t="n">
        <x:f>56</x:f>
        <x:v>56</x:v>
      </x:c>
      <x:c r="B61" t="n">
        <x:f>INT((A61-1)/'Parametreler'!$B$11)+1</x:f>
        <x:v>14</x:v>
      </x:c>
      <x:c r="C61" t="n">
        <x:f>MOD(A61-1,'Parametreler'!$B$11)+1</x:f>
        <x:v>4</x:v>
      </x:c>
      <x:c r="D61" t="n">
        <x:f>INDEX('Veri Kümesi'!$B$6:$B$9,C61)</x:f>
        <x:v>1</x:v>
      </x:c>
      <x:c r="E61" t="n">
        <x:f>INDEX('Veri Kümesi'!$C$6:$C$9,C61)</x:f>
        <x:v>1</x:v>
      </x:c>
      <x:c r="F61" t="n">
        <x:f>INDEX('Veri Kümesi'!$D$6:$D$9,C61)</x:f>
        <x:v>1</x:v>
      </x:c>
      <x:c r="G61" s="30" t="n">
        <x:f>M60</x:f>
        <x:v>0.2</x:v>
      </x:c>
      <x:c r="H61" s="30" t="n">
        <x:f>N60</x:f>
        <x:v>0.2</x:v>
      </x:c>
      <x:c r="I61" s="30" t="n">
        <x:f>O60</x:f>
        <x:v>-0.2</x:v>
      </x:c>
      <x:c r="J61" s="30" t="n">
        <x:f>G61*D61+H61*E61+I61</x:f>
        <x:v>0.2</x:v>
      </x:c>
      <x:c r="K61" s="30" t="n">
        <x:f>IF(J61&gt;=0,1,-1)</x:f>
        <x:v>1</x:v>
      </x:c>
      <x:c r="L61" s="30" t="n">
        <x:f>IF(K61=F61,0,1)</x:f>
        <x:v>0</x:v>
      </x:c>
      <x:c r="M61" s="30" t="n">
        <x:f>G61+'Parametreler'!$B$6*F61*D61*L61</x:f>
        <x:v>0.2</x:v>
      </x:c>
      <x:c r="N61" s="30" t="n">
        <x:f>H61+'Parametreler'!$B$6*F61*E61*L61</x:f>
        <x:v>0.2</x:v>
      </x:c>
      <x:c r="O61" s="30" t="n">
        <x:f>I61+'Parametreler'!$B$6*F61*L61</x:f>
        <x:v>-0.2</x:v>
      </x:c>
      <x:c r="P61" t="n">
        <x:f>1-L61</x:f>
        <x:v>1</x:v>
      </x:c>
    </x:row>
    <x:row r="62">
      <x:c r="A62" t="n">
        <x:f>57</x:f>
        <x:v>57</x:v>
      </x:c>
      <x:c r="B62" t="n">
        <x:f>INT((A62-1)/'Parametreler'!$B$11)+1</x:f>
        <x:v>15</x:v>
      </x:c>
      <x:c r="C62" t="n">
        <x:f>MOD(A62-1,'Parametreler'!$B$11)+1</x:f>
        <x:v>1</x:v>
      </x:c>
      <x:c r="D62" t="n">
        <x:f>INDEX('Veri Kümesi'!$B$6:$B$9,C62)</x:f>
        <x:v>-1</x:v>
      </x:c>
      <x:c r="E62" t="n">
        <x:f>INDEX('Veri Kümesi'!$C$6:$C$9,C62)</x:f>
        <x:v>-1</x:v>
      </x:c>
      <x:c r="F62" t="n">
        <x:f>INDEX('Veri Kümesi'!$D$6:$D$9,C62)</x:f>
        <x:v>-1</x:v>
      </x:c>
      <x:c r="G62" s="30" t="n">
        <x:f>M61</x:f>
        <x:v>0.2</x:v>
      </x:c>
      <x:c r="H62" s="30" t="n">
        <x:f>N61</x:f>
        <x:v>0.2</x:v>
      </x:c>
      <x:c r="I62" s="30" t="n">
        <x:f>O61</x:f>
        <x:v>-0.2</x:v>
      </x:c>
      <x:c r="J62" s="30" t="n">
        <x:f>G62*D62+H62*E62+I62</x:f>
        <x:v>-0.6000000000000001</x:v>
      </x:c>
      <x:c r="K62" s="30" t="n">
        <x:f>IF(J62&gt;=0,1,-1)</x:f>
        <x:v>-1</x:v>
      </x:c>
      <x:c r="L62" s="30" t="n">
        <x:f>IF(K62=F62,0,1)</x:f>
        <x:v>0</x:v>
      </x:c>
      <x:c r="M62" s="30" t="n">
        <x:f>G62+'Parametreler'!$B$6*F62*D62*L62</x:f>
        <x:v>0.2</x:v>
      </x:c>
      <x:c r="N62" s="30" t="n">
        <x:f>H62+'Parametreler'!$B$6*F62*E62*L62</x:f>
        <x:v>0.2</x:v>
      </x:c>
      <x:c r="O62" s="30" t="n">
        <x:f>I62+'Parametreler'!$B$6*F62*L62</x:f>
        <x:v>-0.2</x:v>
      </x:c>
      <x:c r="P62" t="n">
        <x:f>1-L62</x:f>
        <x:v>1</x:v>
      </x:c>
    </x:row>
    <x:row r="63">
      <x:c r="A63" t="n">
        <x:f>58</x:f>
        <x:v>58</x:v>
      </x:c>
      <x:c r="B63" t="n">
        <x:f>INT((A63-1)/'Parametreler'!$B$11)+1</x:f>
        <x:v>15</x:v>
      </x:c>
      <x:c r="C63" t="n">
        <x:f>MOD(A63-1,'Parametreler'!$B$11)+1</x:f>
        <x:v>2</x:v>
      </x:c>
      <x:c r="D63" t="n">
        <x:f>INDEX('Veri Kümesi'!$B$6:$B$9,C63)</x:f>
        <x:v>-1</x:v>
      </x:c>
      <x:c r="E63" t="n">
        <x:f>INDEX('Veri Kümesi'!$C$6:$C$9,C63)</x:f>
        <x:v>1</x:v>
      </x:c>
      <x:c r="F63" t="n">
        <x:f>INDEX('Veri Kümesi'!$D$6:$D$9,C63)</x:f>
        <x:v>-1</x:v>
      </x:c>
      <x:c r="G63" s="30" t="n">
        <x:f>M62</x:f>
        <x:v>0.2</x:v>
      </x:c>
      <x:c r="H63" s="30" t="n">
        <x:f>N62</x:f>
        <x:v>0.2</x:v>
      </x:c>
      <x:c r="I63" s="30" t="n">
        <x:f>O62</x:f>
        <x:v>-0.2</x:v>
      </x:c>
      <x:c r="J63" s="30" t="n">
        <x:f>G63*D63+H63*E63+I63</x:f>
        <x:v>-0.2</x:v>
      </x:c>
      <x:c r="K63" s="30" t="n">
        <x:f>IF(J63&gt;=0,1,-1)</x:f>
        <x:v>-1</x:v>
      </x:c>
      <x:c r="L63" s="30" t="n">
        <x:f>IF(K63=F63,0,1)</x:f>
        <x:v>0</x:v>
      </x:c>
      <x:c r="M63" s="30" t="n">
        <x:f>G63+'Parametreler'!$B$6*F63*D63*L63</x:f>
        <x:v>0.2</x:v>
      </x:c>
      <x:c r="N63" s="30" t="n">
        <x:f>H63+'Parametreler'!$B$6*F63*E63*L63</x:f>
        <x:v>0.2</x:v>
      </x:c>
      <x:c r="O63" s="30" t="n">
        <x:f>I63+'Parametreler'!$B$6*F63*L63</x:f>
        <x:v>-0.2</x:v>
      </x:c>
      <x:c r="P63" t="n">
        <x:f>1-L63</x:f>
        <x:v>1</x:v>
      </x:c>
    </x:row>
    <x:row r="64">
      <x:c r="A64" t="n">
        <x:f>59</x:f>
        <x:v>59</x:v>
      </x:c>
      <x:c r="B64" t="n">
        <x:f>INT((A64-1)/'Parametreler'!$B$11)+1</x:f>
        <x:v>15</x:v>
      </x:c>
      <x:c r="C64" t="n">
        <x:f>MOD(A64-1,'Parametreler'!$B$11)+1</x:f>
        <x:v>3</x:v>
      </x:c>
      <x:c r="D64" t="n">
        <x:f>INDEX('Veri Kümesi'!$B$6:$B$9,C64)</x:f>
        <x:v>1</x:v>
      </x:c>
      <x:c r="E64" t="n">
        <x:f>INDEX('Veri Kümesi'!$C$6:$C$9,C64)</x:f>
        <x:v>-1</x:v>
      </x:c>
      <x:c r="F64" t="n">
        <x:f>INDEX('Veri Kümesi'!$D$6:$D$9,C64)</x:f>
        <x:v>-1</x:v>
      </x:c>
      <x:c r="G64" s="30" t="n">
        <x:f>M63</x:f>
        <x:v>0.2</x:v>
      </x:c>
      <x:c r="H64" s="30" t="n">
        <x:f>N63</x:f>
        <x:v>0.2</x:v>
      </x:c>
      <x:c r="I64" s="30" t="n">
        <x:f>O63</x:f>
        <x:v>-0.2</x:v>
      </x:c>
      <x:c r="J64" s="30" t="n">
        <x:f>G64*D64+H64*E64+I64</x:f>
        <x:v>-0.2</x:v>
      </x:c>
      <x:c r="K64" s="30" t="n">
        <x:f>IF(J64&gt;=0,1,-1)</x:f>
        <x:v>-1</x:v>
      </x:c>
      <x:c r="L64" s="30" t="n">
        <x:f>IF(K64=F64,0,1)</x:f>
        <x:v>0</x:v>
      </x:c>
      <x:c r="M64" s="30" t="n">
        <x:f>G64+'Parametreler'!$B$6*F64*D64*L64</x:f>
        <x:v>0.2</x:v>
      </x:c>
      <x:c r="N64" s="30" t="n">
        <x:f>H64+'Parametreler'!$B$6*F64*E64*L64</x:f>
        <x:v>0.2</x:v>
      </x:c>
      <x:c r="O64" s="30" t="n">
        <x:f>I64+'Parametreler'!$B$6*F64*L64</x:f>
        <x:v>-0.2</x:v>
      </x:c>
      <x:c r="P64" t="n">
        <x:f>1-L64</x:f>
        <x:v>1</x:v>
      </x:c>
    </x:row>
    <x:row r="65">
      <x:c r="A65" t="n">
        <x:f>60</x:f>
        <x:v>60</x:v>
      </x:c>
      <x:c r="B65" t="n">
        <x:f>INT((A65-1)/'Parametreler'!$B$11)+1</x:f>
        <x:v>15</x:v>
      </x:c>
      <x:c r="C65" t="n">
        <x:f>MOD(A65-1,'Parametreler'!$B$11)+1</x:f>
        <x:v>4</x:v>
      </x:c>
      <x:c r="D65" t="n">
        <x:f>INDEX('Veri Kümesi'!$B$6:$B$9,C65)</x:f>
        <x:v>1</x:v>
      </x:c>
      <x:c r="E65" t="n">
        <x:f>INDEX('Veri Kümesi'!$C$6:$C$9,C65)</x:f>
        <x:v>1</x:v>
      </x:c>
      <x:c r="F65" t="n">
        <x:f>INDEX('Veri Kümesi'!$D$6:$D$9,C65)</x:f>
        <x:v>1</x:v>
      </x:c>
      <x:c r="G65" s="30" t="n">
        <x:f>M64</x:f>
        <x:v>0.2</x:v>
      </x:c>
      <x:c r="H65" s="30" t="n">
        <x:f>N64</x:f>
        <x:v>0.2</x:v>
      </x:c>
      <x:c r="I65" s="30" t="n">
        <x:f>O64</x:f>
        <x:v>-0.2</x:v>
      </x:c>
      <x:c r="J65" s="30" t="n">
        <x:f>G65*D65+H65*E65+I65</x:f>
        <x:v>0.2</x:v>
      </x:c>
      <x:c r="K65" s="30" t="n">
        <x:f>IF(J65&gt;=0,1,-1)</x:f>
        <x:v>1</x:v>
      </x:c>
      <x:c r="L65" s="30" t="n">
        <x:f>IF(K65=F65,0,1)</x:f>
        <x:v>0</x:v>
      </x:c>
      <x:c r="M65" s="30" t="n">
        <x:f>G65+'Parametreler'!$B$6*F65*D65*L65</x:f>
        <x:v>0.2</x:v>
      </x:c>
      <x:c r="N65" s="30" t="n">
        <x:f>H65+'Parametreler'!$B$6*F65*E65*L65</x:f>
        <x:v>0.2</x:v>
      </x:c>
      <x:c r="O65" s="30" t="n">
        <x:f>I65+'Parametreler'!$B$6*F65*L65</x:f>
        <x:v>-0.2</x:v>
      </x:c>
      <x:c r="P65" t="n">
        <x:f>1-L65</x:f>
        <x:v>1</x:v>
      </x:c>
    </x:row>
    <x:row r="66">
      <x:c r="A66" t="n">
        <x:f>61</x:f>
        <x:v>61</x:v>
      </x:c>
      <x:c r="B66" t="n">
        <x:f>INT((A66-1)/'Parametreler'!$B$11)+1</x:f>
        <x:v>16</x:v>
      </x:c>
      <x:c r="C66" t="n">
        <x:f>MOD(A66-1,'Parametreler'!$B$11)+1</x:f>
        <x:v>1</x:v>
      </x:c>
      <x:c r="D66" t="n">
        <x:f>INDEX('Veri Kümesi'!$B$6:$B$9,C66)</x:f>
        <x:v>-1</x:v>
      </x:c>
      <x:c r="E66" t="n">
        <x:f>INDEX('Veri Kümesi'!$C$6:$C$9,C66)</x:f>
        <x:v>-1</x:v>
      </x:c>
      <x:c r="F66" t="n">
        <x:f>INDEX('Veri Kümesi'!$D$6:$D$9,C66)</x:f>
        <x:v>-1</x:v>
      </x:c>
      <x:c r="G66" s="30" t="n">
        <x:f>M65</x:f>
        <x:v>0.2</x:v>
      </x:c>
      <x:c r="H66" s="30" t="n">
        <x:f>N65</x:f>
        <x:v>0.2</x:v>
      </x:c>
      <x:c r="I66" s="30" t="n">
        <x:f>O65</x:f>
        <x:v>-0.2</x:v>
      </x:c>
      <x:c r="J66" s="30" t="n">
        <x:f>G66*D66+H66*E66+I66</x:f>
        <x:v>-0.6000000000000001</x:v>
      </x:c>
      <x:c r="K66" s="30" t="n">
        <x:f>IF(J66&gt;=0,1,-1)</x:f>
        <x:v>-1</x:v>
      </x:c>
      <x:c r="L66" s="30" t="n">
        <x:f>IF(K66=F66,0,1)</x:f>
        <x:v>0</x:v>
      </x:c>
      <x:c r="M66" s="30" t="n">
        <x:f>G66+'Parametreler'!$B$6*F66*D66*L66</x:f>
        <x:v>0.2</x:v>
      </x:c>
      <x:c r="N66" s="30" t="n">
        <x:f>H66+'Parametreler'!$B$6*F66*E66*L66</x:f>
        <x:v>0.2</x:v>
      </x:c>
      <x:c r="O66" s="30" t="n">
        <x:f>I66+'Parametreler'!$B$6*F66*L66</x:f>
        <x:v>-0.2</x:v>
      </x:c>
      <x:c r="P66" t="n">
        <x:f>1-L66</x:f>
        <x:v>1</x:v>
      </x:c>
    </x:row>
    <x:row r="67">
      <x:c r="A67" t="n">
        <x:f>62</x:f>
        <x:v>62</x:v>
      </x:c>
      <x:c r="B67" t="n">
        <x:f>INT((A67-1)/'Parametreler'!$B$11)+1</x:f>
        <x:v>16</x:v>
      </x:c>
      <x:c r="C67" t="n">
        <x:f>MOD(A67-1,'Parametreler'!$B$11)+1</x:f>
        <x:v>2</x:v>
      </x:c>
      <x:c r="D67" t="n">
        <x:f>INDEX('Veri Kümesi'!$B$6:$B$9,C67)</x:f>
        <x:v>-1</x:v>
      </x:c>
      <x:c r="E67" t="n">
        <x:f>INDEX('Veri Kümesi'!$C$6:$C$9,C67)</x:f>
        <x:v>1</x:v>
      </x:c>
      <x:c r="F67" t="n">
        <x:f>INDEX('Veri Kümesi'!$D$6:$D$9,C67)</x:f>
        <x:v>-1</x:v>
      </x:c>
      <x:c r="G67" s="30" t="n">
        <x:f>M66</x:f>
        <x:v>0.2</x:v>
      </x:c>
      <x:c r="H67" s="30" t="n">
        <x:f>N66</x:f>
        <x:v>0.2</x:v>
      </x:c>
      <x:c r="I67" s="30" t="n">
        <x:f>O66</x:f>
        <x:v>-0.2</x:v>
      </x:c>
      <x:c r="J67" s="30" t="n">
        <x:f>G67*D67+H67*E67+I67</x:f>
        <x:v>-0.2</x:v>
      </x:c>
      <x:c r="K67" s="30" t="n">
        <x:f>IF(J67&gt;=0,1,-1)</x:f>
        <x:v>-1</x:v>
      </x:c>
      <x:c r="L67" s="30" t="n">
        <x:f>IF(K67=F67,0,1)</x:f>
        <x:v>0</x:v>
      </x:c>
      <x:c r="M67" s="30" t="n">
        <x:f>G67+'Parametreler'!$B$6*F67*D67*L67</x:f>
        <x:v>0.2</x:v>
      </x:c>
      <x:c r="N67" s="30" t="n">
        <x:f>H67+'Parametreler'!$B$6*F67*E67*L67</x:f>
        <x:v>0.2</x:v>
      </x:c>
      <x:c r="O67" s="30" t="n">
        <x:f>I67+'Parametreler'!$B$6*F67*L67</x:f>
        <x:v>-0.2</x:v>
      </x:c>
      <x:c r="P67" t="n">
        <x:f>1-L67</x:f>
        <x:v>1</x:v>
      </x:c>
    </x:row>
    <x:row r="68">
      <x:c r="A68" t="n">
        <x:f>63</x:f>
        <x:v>63</x:v>
      </x:c>
      <x:c r="B68" t="n">
        <x:f>INT((A68-1)/'Parametreler'!$B$11)+1</x:f>
        <x:v>16</x:v>
      </x:c>
      <x:c r="C68" t="n">
        <x:f>MOD(A68-1,'Parametreler'!$B$11)+1</x:f>
        <x:v>3</x:v>
      </x:c>
      <x:c r="D68" t="n">
        <x:f>INDEX('Veri Kümesi'!$B$6:$B$9,C68)</x:f>
        <x:v>1</x:v>
      </x:c>
      <x:c r="E68" t="n">
        <x:f>INDEX('Veri Kümesi'!$C$6:$C$9,C68)</x:f>
        <x:v>-1</x:v>
      </x:c>
      <x:c r="F68" t="n">
        <x:f>INDEX('Veri Kümesi'!$D$6:$D$9,C68)</x:f>
        <x:v>-1</x:v>
      </x:c>
      <x:c r="G68" s="30" t="n">
        <x:f>M67</x:f>
        <x:v>0.2</x:v>
      </x:c>
      <x:c r="H68" s="30" t="n">
        <x:f>N67</x:f>
        <x:v>0.2</x:v>
      </x:c>
      <x:c r="I68" s="30" t="n">
        <x:f>O67</x:f>
        <x:v>-0.2</x:v>
      </x:c>
      <x:c r="J68" s="30" t="n">
        <x:f>G68*D68+H68*E68+I68</x:f>
        <x:v>-0.2</x:v>
      </x:c>
      <x:c r="K68" s="30" t="n">
        <x:f>IF(J68&gt;=0,1,-1)</x:f>
        <x:v>-1</x:v>
      </x:c>
      <x:c r="L68" s="30" t="n">
        <x:f>IF(K68=F68,0,1)</x:f>
        <x:v>0</x:v>
      </x:c>
      <x:c r="M68" s="30" t="n">
        <x:f>G68+'Parametreler'!$B$6*F68*D68*L68</x:f>
        <x:v>0.2</x:v>
      </x:c>
      <x:c r="N68" s="30" t="n">
        <x:f>H68+'Parametreler'!$B$6*F68*E68*L68</x:f>
        <x:v>0.2</x:v>
      </x:c>
      <x:c r="O68" s="30" t="n">
        <x:f>I68+'Parametreler'!$B$6*F68*L68</x:f>
        <x:v>-0.2</x:v>
      </x:c>
      <x:c r="P68" t="n">
        <x:f>1-L68</x:f>
        <x:v>1</x:v>
      </x:c>
    </x:row>
    <x:row r="69">
      <x:c r="A69" t="n">
        <x:f>64</x:f>
        <x:v>64</x:v>
      </x:c>
      <x:c r="B69" t="n">
        <x:f>INT((A69-1)/'Parametreler'!$B$11)+1</x:f>
        <x:v>16</x:v>
      </x:c>
      <x:c r="C69" t="n">
        <x:f>MOD(A69-1,'Parametreler'!$B$11)+1</x:f>
        <x:v>4</x:v>
      </x:c>
      <x:c r="D69" t="n">
        <x:f>INDEX('Veri Kümesi'!$B$6:$B$9,C69)</x:f>
        <x:v>1</x:v>
      </x:c>
      <x:c r="E69" t="n">
        <x:f>INDEX('Veri Kümesi'!$C$6:$C$9,C69)</x:f>
        <x:v>1</x:v>
      </x:c>
      <x:c r="F69" t="n">
        <x:f>INDEX('Veri Kümesi'!$D$6:$D$9,C69)</x:f>
        <x:v>1</x:v>
      </x:c>
      <x:c r="G69" s="30" t="n">
        <x:f>M68</x:f>
        <x:v>0.2</x:v>
      </x:c>
      <x:c r="H69" s="30" t="n">
        <x:f>N68</x:f>
        <x:v>0.2</x:v>
      </x:c>
      <x:c r="I69" s="30" t="n">
        <x:f>O68</x:f>
        <x:v>-0.2</x:v>
      </x:c>
      <x:c r="J69" s="30" t="n">
        <x:f>G69*D69+H69*E69+I69</x:f>
        <x:v>0.2</x:v>
      </x:c>
      <x:c r="K69" s="30" t="n">
        <x:f>IF(J69&gt;=0,1,-1)</x:f>
        <x:v>1</x:v>
      </x:c>
      <x:c r="L69" s="30" t="n">
        <x:f>IF(K69=F69,0,1)</x:f>
        <x:v>0</x:v>
      </x:c>
      <x:c r="M69" s="30" t="n">
        <x:f>G69+'Parametreler'!$B$6*F69*D69*L69</x:f>
        <x:v>0.2</x:v>
      </x:c>
      <x:c r="N69" s="30" t="n">
        <x:f>H69+'Parametreler'!$B$6*F69*E69*L69</x:f>
        <x:v>0.2</x:v>
      </x:c>
      <x:c r="O69" s="30" t="n">
        <x:f>I69+'Parametreler'!$B$6*F69*L69</x:f>
        <x:v>-0.2</x:v>
      </x:c>
      <x:c r="P69" t="n">
        <x:f>1-L69</x:f>
        <x:v>1</x:v>
      </x:c>
    </x:row>
    <x:row r="70">
      <x:c r="A70" t="n">
        <x:f>65</x:f>
        <x:v>65</x:v>
      </x:c>
      <x:c r="B70" t="n">
        <x:f>INT((A70-1)/'Parametreler'!$B$11)+1</x:f>
        <x:v>17</x:v>
      </x:c>
      <x:c r="C70" t="n">
        <x:f>MOD(A70-1,'Parametreler'!$B$11)+1</x:f>
        <x:v>1</x:v>
      </x:c>
      <x:c r="D70" t="n">
        <x:f>INDEX('Veri Kümesi'!$B$6:$B$9,C70)</x:f>
        <x:v>-1</x:v>
      </x:c>
      <x:c r="E70" t="n">
        <x:f>INDEX('Veri Kümesi'!$C$6:$C$9,C70)</x:f>
        <x:v>-1</x:v>
      </x:c>
      <x:c r="F70" t="n">
        <x:f>INDEX('Veri Kümesi'!$D$6:$D$9,C70)</x:f>
        <x:v>-1</x:v>
      </x:c>
      <x:c r="G70" s="30" t="n">
        <x:f>M69</x:f>
        <x:v>0.2</x:v>
      </x:c>
      <x:c r="H70" s="30" t="n">
        <x:f>N69</x:f>
        <x:v>0.2</x:v>
      </x:c>
      <x:c r="I70" s="30" t="n">
        <x:f>O69</x:f>
        <x:v>-0.2</x:v>
      </x:c>
      <x:c r="J70" s="30" t="n">
        <x:f>G70*D70+H70*E70+I70</x:f>
        <x:v>-0.6000000000000001</x:v>
      </x:c>
      <x:c r="K70" s="30" t="n">
        <x:f>IF(J70&gt;=0,1,-1)</x:f>
        <x:v>-1</x:v>
      </x:c>
      <x:c r="L70" s="30" t="n">
        <x:f>IF(K70=F70,0,1)</x:f>
        <x:v>0</x:v>
      </x:c>
      <x:c r="M70" s="30" t="n">
        <x:f>G70+'Parametreler'!$B$6*F70*D70*L70</x:f>
        <x:v>0.2</x:v>
      </x:c>
      <x:c r="N70" s="30" t="n">
        <x:f>H70+'Parametreler'!$B$6*F70*E70*L70</x:f>
        <x:v>0.2</x:v>
      </x:c>
      <x:c r="O70" s="30" t="n">
        <x:f>I70+'Parametreler'!$B$6*F70*L70</x:f>
        <x:v>-0.2</x:v>
      </x:c>
      <x:c r="P70" t="n">
        <x:f>1-L70</x:f>
        <x:v>1</x:v>
      </x:c>
    </x:row>
    <x:row r="71">
      <x:c r="A71" t="n">
        <x:f>66</x:f>
        <x:v>66</x:v>
      </x:c>
      <x:c r="B71" t="n">
        <x:f>INT((A71-1)/'Parametreler'!$B$11)+1</x:f>
        <x:v>17</x:v>
      </x:c>
      <x:c r="C71" t="n">
        <x:f>MOD(A71-1,'Parametreler'!$B$11)+1</x:f>
        <x:v>2</x:v>
      </x:c>
      <x:c r="D71" t="n">
        <x:f>INDEX('Veri Kümesi'!$B$6:$B$9,C71)</x:f>
        <x:v>-1</x:v>
      </x:c>
      <x:c r="E71" t="n">
        <x:f>INDEX('Veri Kümesi'!$C$6:$C$9,C71)</x:f>
        <x:v>1</x:v>
      </x:c>
      <x:c r="F71" t="n">
        <x:f>INDEX('Veri Kümesi'!$D$6:$D$9,C71)</x:f>
        <x:v>-1</x:v>
      </x:c>
      <x:c r="G71" s="30" t="n">
        <x:f>M70</x:f>
        <x:v>0.2</x:v>
      </x:c>
      <x:c r="H71" s="30" t="n">
        <x:f>N70</x:f>
        <x:v>0.2</x:v>
      </x:c>
      <x:c r="I71" s="30" t="n">
        <x:f>O70</x:f>
        <x:v>-0.2</x:v>
      </x:c>
      <x:c r="J71" s="30" t="n">
        <x:f>G71*D71+H71*E71+I71</x:f>
        <x:v>-0.2</x:v>
      </x:c>
      <x:c r="K71" s="30" t="n">
        <x:f>IF(J71&gt;=0,1,-1)</x:f>
        <x:v>-1</x:v>
      </x:c>
      <x:c r="L71" s="30" t="n">
        <x:f>IF(K71=F71,0,1)</x:f>
        <x:v>0</x:v>
      </x:c>
      <x:c r="M71" s="30" t="n">
        <x:f>G71+'Parametreler'!$B$6*F71*D71*L71</x:f>
        <x:v>0.2</x:v>
      </x:c>
      <x:c r="N71" s="30" t="n">
        <x:f>H71+'Parametreler'!$B$6*F71*E71*L71</x:f>
        <x:v>0.2</x:v>
      </x:c>
      <x:c r="O71" s="30" t="n">
        <x:f>I71+'Parametreler'!$B$6*F71*L71</x:f>
        <x:v>-0.2</x:v>
      </x:c>
      <x:c r="P71" t="n">
        <x:f>1-L71</x:f>
        <x:v>1</x:v>
      </x:c>
    </x:row>
    <x:row r="72">
      <x:c r="A72" t="n">
        <x:f>67</x:f>
        <x:v>67</x:v>
      </x:c>
      <x:c r="B72" t="n">
        <x:f>INT((A72-1)/'Parametreler'!$B$11)+1</x:f>
        <x:v>17</x:v>
      </x:c>
      <x:c r="C72" t="n">
        <x:f>MOD(A72-1,'Parametreler'!$B$11)+1</x:f>
        <x:v>3</x:v>
      </x:c>
      <x:c r="D72" t="n">
        <x:f>INDEX('Veri Kümesi'!$B$6:$B$9,C72)</x:f>
        <x:v>1</x:v>
      </x:c>
      <x:c r="E72" t="n">
        <x:f>INDEX('Veri Kümesi'!$C$6:$C$9,C72)</x:f>
        <x:v>-1</x:v>
      </x:c>
      <x:c r="F72" t="n">
        <x:f>INDEX('Veri Kümesi'!$D$6:$D$9,C72)</x:f>
        <x:v>-1</x:v>
      </x:c>
      <x:c r="G72" s="30" t="n">
        <x:f>M71</x:f>
        <x:v>0.2</x:v>
      </x:c>
      <x:c r="H72" s="30" t="n">
        <x:f>N71</x:f>
        <x:v>0.2</x:v>
      </x:c>
      <x:c r="I72" s="30" t="n">
        <x:f>O71</x:f>
        <x:v>-0.2</x:v>
      </x:c>
      <x:c r="J72" s="30" t="n">
        <x:f>G72*D72+H72*E72+I72</x:f>
        <x:v>-0.2</x:v>
      </x:c>
      <x:c r="K72" s="30" t="n">
        <x:f>IF(J72&gt;=0,1,-1)</x:f>
        <x:v>-1</x:v>
      </x:c>
      <x:c r="L72" s="30" t="n">
        <x:f>IF(K72=F72,0,1)</x:f>
        <x:v>0</x:v>
      </x:c>
      <x:c r="M72" s="30" t="n">
        <x:f>G72+'Parametreler'!$B$6*F72*D72*L72</x:f>
        <x:v>0.2</x:v>
      </x:c>
      <x:c r="N72" s="30" t="n">
        <x:f>H72+'Parametreler'!$B$6*F72*E72*L72</x:f>
        <x:v>0.2</x:v>
      </x:c>
      <x:c r="O72" s="30" t="n">
        <x:f>I72+'Parametreler'!$B$6*F72*L72</x:f>
        <x:v>-0.2</x:v>
      </x:c>
      <x:c r="P72" t="n">
        <x:f>1-L72</x:f>
        <x:v>1</x:v>
      </x:c>
    </x:row>
    <x:row r="73">
      <x:c r="A73" t="n">
        <x:f>68</x:f>
        <x:v>68</x:v>
      </x:c>
      <x:c r="B73" t="n">
        <x:f>INT((A73-1)/'Parametreler'!$B$11)+1</x:f>
        <x:v>17</x:v>
      </x:c>
      <x:c r="C73" t="n">
        <x:f>MOD(A73-1,'Parametreler'!$B$11)+1</x:f>
        <x:v>4</x:v>
      </x:c>
      <x:c r="D73" t="n">
        <x:f>INDEX('Veri Kümesi'!$B$6:$B$9,C73)</x:f>
        <x:v>1</x:v>
      </x:c>
      <x:c r="E73" t="n">
        <x:f>INDEX('Veri Kümesi'!$C$6:$C$9,C73)</x:f>
        <x:v>1</x:v>
      </x:c>
      <x:c r="F73" t="n">
        <x:f>INDEX('Veri Kümesi'!$D$6:$D$9,C73)</x:f>
        <x:v>1</x:v>
      </x:c>
      <x:c r="G73" s="30" t="n">
        <x:f>M72</x:f>
        <x:v>0.2</x:v>
      </x:c>
      <x:c r="H73" s="30" t="n">
        <x:f>N72</x:f>
        <x:v>0.2</x:v>
      </x:c>
      <x:c r="I73" s="30" t="n">
        <x:f>O72</x:f>
        <x:v>-0.2</x:v>
      </x:c>
      <x:c r="J73" s="30" t="n">
        <x:f>G73*D73+H73*E73+I73</x:f>
        <x:v>0.2</x:v>
      </x:c>
      <x:c r="K73" s="30" t="n">
        <x:f>IF(J73&gt;=0,1,-1)</x:f>
        <x:v>1</x:v>
      </x:c>
      <x:c r="L73" s="30" t="n">
        <x:f>IF(K73=F73,0,1)</x:f>
        <x:v>0</x:v>
      </x:c>
      <x:c r="M73" s="30" t="n">
        <x:f>G73+'Parametreler'!$B$6*F73*D73*L73</x:f>
        <x:v>0.2</x:v>
      </x:c>
      <x:c r="N73" s="30" t="n">
        <x:f>H73+'Parametreler'!$B$6*F73*E73*L73</x:f>
        <x:v>0.2</x:v>
      </x:c>
      <x:c r="O73" s="30" t="n">
        <x:f>I73+'Parametreler'!$B$6*F73*L73</x:f>
        <x:v>-0.2</x:v>
      </x:c>
      <x:c r="P73" t="n">
        <x:f>1-L73</x:f>
        <x:v>1</x:v>
      </x:c>
    </x:row>
    <x:row r="74">
      <x:c r="A74" t="n">
        <x:f>69</x:f>
        <x:v>69</x:v>
      </x:c>
      <x:c r="B74" t="n">
        <x:f>INT((A74-1)/'Parametreler'!$B$11)+1</x:f>
        <x:v>18</x:v>
      </x:c>
      <x:c r="C74" t="n">
        <x:f>MOD(A74-1,'Parametreler'!$B$11)+1</x:f>
        <x:v>1</x:v>
      </x:c>
      <x:c r="D74" t="n">
        <x:f>INDEX('Veri Kümesi'!$B$6:$B$9,C74)</x:f>
        <x:v>-1</x:v>
      </x:c>
      <x:c r="E74" t="n">
        <x:f>INDEX('Veri Kümesi'!$C$6:$C$9,C74)</x:f>
        <x:v>-1</x:v>
      </x:c>
      <x:c r="F74" t="n">
        <x:f>INDEX('Veri Kümesi'!$D$6:$D$9,C74)</x:f>
        <x:v>-1</x:v>
      </x:c>
      <x:c r="G74" s="30" t="n">
        <x:f>M73</x:f>
        <x:v>0.2</x:v>
      </x:c>
      <x:c r="H74" s="30" t="n">
        <x:f>N73</x:f>
        <x:v>0.2</x:v>
      </x:c>
      <x:c r="I74" s="30" t="n">
        <x:f>O73</x:f>
        <x:v>-0.2</x:v>
      </x:c>
      <x:c r="J74" s="30" t="n">
        <x:f>G74*D74+H74*E74+I74</x:f>
        <x:v>-0.6000000000000001</x:v>
      </x:c>
      <x:c r="K74" s="30" t="n">
        <x:f>IF(J74&gt;=0,1,-1)</x:f>
        <x:v>-1</x:v>
      </x:c>
      <x:c r="L74" s="30" t="n">
        <x:f>IF(K74=F74,0,1)</x:f>
        <x:v>0</x:v>
      </x:c>
      <x:c r="M74" s="30" t="n">
        <x:f>G74+'Parametreler'!$B$6*F74*D74*L74</x:f>
        <x:v>0.2</x:v>
      </x:c>
      <x:c r="N74" s="30" t="n">
        <x:f>H74+'Parametreler'!$B$6*F74*E74*L74</x:f>
        <x:v>0.2</x:v>
      </x:c>
      <x:c r="O74" s="30" t="n">
        <x:f>I74+'Parametreler'!$B$6*F74*L74</x:f>
        <x:v>-0.2</x:v>
      </x:c>
      <x:c r="P74" t="n">
        <x:f>1-L74</x:f>
        <x:v>1</x:v>
      </x:c>
    </x:row>
    <x:row r="75">
      <x:c r="A75" t="n">
        <x:f>70</x:f>
        <x:v>70</x:v>
      </x:c>
      <x:c r="B75" t="n">
        <x:f>INT((A75-1)/'Parametreler'!$B$11)+1</x:f>
        <x:v>18</x:v>
      </x:c>
      <x:c r="C75" t="n">
        <x:f>MOD(A75-1,'Parametreler'!$B$11)+1</x:f>
        <x:v>2</x:v>
      </x:c>
      <x:c r="D75" t="n">
        <x:f>INDEX('Veri Kümesi'!$B$6:$B$9,C75)</x:f>
        <x:v>-1</x:v>
      </x:c>
      <x:c r="E75" t="n">
        <x:f>INDEX('Veri Kümesi'!$C$6:$C$9,C75)</x:f>
        <x:v>1</x:v>
      </x:c>
      <x:c r="F75" t="n">
        <x:f>INDEX('Veri Kümesi'!$D$6:$D$9,C75)</x:f>
        <x:v>-1</x:v>
      </x:c>
      <x:c r="G75" s="30" t="n">
        <x:f>M74</x:f>
        <x:v>0.2</x:v>
      </x:c>
      <x:c r="H75" s="30" t="n">
        <x:f>N74</x:f>
        <x:v>0.2</x:v>
      </x:c>
      <x:c r="I75" s="30" t="n">
        <x:f>O74</x:f>
        <x:v>-0.2</x:v>
      </x:c>
      <x:c r="J75" s="30" t="n">
        <x:f>G75*D75+H75*E75+I75</x:f>
        <x:v>-0.2</x:v>
      </x:c>
      <x:c r="K75" s="30" t="n">
        <x:f>IF(J75&gt;=0,1,-1)</x:f>
        <x:v>-1</x:v>
      </x:c>
      <x:c r="L75" s="30" t="n">
        <x:f>IF(K75=F75,0,1)</x:f>
        <x:v>0</x:v>
      </x:c>
      <x:c r="M75" s="30" t="n">
        <x:f>G75+'Parametreler'!$B$6*F75*D75*L75</x:f>
        <x:v>0.2</x:v>
      </x:c>
      <x:c r="N75" s="30" t="n">
        <x:f>H75+'Parametreler'!$B$6*F75*E75*L75</x:f>
        <x:v>0.2</x:v>
      </x:c>
      <x:c r="O75" s="30" t="n">
        <x:f>I75+'Parametreler'!$B$6*F75*L75</x:f>
        <x:v>-0.2</x:v>
      </x:c>
      <x:c r="P75" t="n">
        <x:f>1-L75</x:f>
        <x:v>1</x:v>
      </x:c>
    </x:row>
    <x:row r="76">
      <x:c r="A76" t="n">
        <x:f>71</x:f>
        <x:v>71</x:v>
      </x:c>
      <x:c r="B76" t="n">
        <x:f>INT((A76-1)/'Parametreler'!$B$11)+1</x:f>
        <x:v>18</x:v>
      </x:c>
      <x:c r="C76" t="n">
        <x:f>MOD(A76-1,'Parametreler'!$B$11)+1</x:f>
        <x:v>3</x:v>
      </x:c>
      <x:c r="D76" t="n">
        <x:f>INDEX('Veri Kümesi'!$B$6:$B$9,C76)</x:f>
        <x:v>1</x:v>
      </x:c>
      <x:c r="E76" t="n">
        <x:f>INDEX('Veri Kümesi'!$C$6:$C$9,C76)</x:f>
        <x:v>-1</x:v>
      </x:c>
      <x:c r="F76" t="n">
        <x:f>INDEX('Veri Kümesi'!$D$6:$D$9,C76)</x:f>
        <x:v>-1</x:v>
      </x:c>
      <x:c r="G76" s="30" t="n">
        <x:f>M75</x:f>
        <x:v>0.2</x:v>
      </x:c>
      <x:c r="H76" s="30" t="n">
        <x:f>N75</x:f>
        <x:v>0.2</x:v>
      </x:c>
      <x:c r="I76" s="30" t="n">
        <x:f>O75</x:f>
        <x:v>-0.2</x:v>
      </x:c>
      <x:c r="J76" s="30" t="n">
        <x:f>G76*D76+H76*E76+I76</x:f>
        <x:v>-0.2</x:v>
      </x:c>
      <x:c r="K76" s="30" t="n">
        <x:f>IF(J76&gt;=0,1,-1)</x:f>
        <x:v>-1</x:v>
      </x:c>
      <x:c r="L76" s="30" t="n">
        <x:f>IF(K76=F76,0,1)</x:f>
        <x:v>0</x:v>
      </x:c>
      <x:c r="M76" s="30" t="n">
        <x:f>G76+'Parametreler'!$B$6*F76*D76*L76</x:f>
        <x:v>0.2</x:v>
      </x:c>
      <x:c r="N76" s="30" t="n">
        <x:f>H76+'Parametreler'!$B$6*F76*E76*L76</x:f>
        <x:v>0.2</x:v>
      </x:c>
      <x:c r="O76" s="30" t="n">
        <x:f>I76+'Parametreler'!$B$6*F76*L76</x:f>
        <x:v>-0.2</x:v>
      </x:c>
      <x:c r="P76" t="n">
        <x:f>1-L76</x:f>
        <x:v>1</x:v>
      </x:c>
    </x:row>
    <x:row r="77">
      <x:c r="A77" t="n">
        <x:f>72</x:f>
        <x:v>72</x:v>
      </x:c>
      <x:c r="B77" t="n">
        <x:f>INT((A77-1)/'Parametreler'!$B$11)+1</x:f>
        <x:v>18</x:v>
      </x:c>
      <x:c r="C77" t="n">
        <x:f>MOD(A77-1,'Parametreler'!$B$11)+1</x:f>
        <x:v>4</x:v>
      </x:c>
      <x:c r="D77" t="n">
        <x:f>INDEX('Veri Kümesi'!$B$6:$B$9,C77)</x:f>
        <x:v>1</x:v>
      </x:c>
      <x:c r="E77" t="n">
        <x:f>INDEX('Veri Kümesi'!$C$6:$C$9,C77)</x:f>
        <x:v>1</x:v>
      </x:c>
      <x:c r="F77" t="n">
        <x:f>INDEX('Veri Kümesi'!$D$6:$D$9,C77)</x:f>
        <x:v>1</x:v>
      </x:c>
      <x:c r="G77" s="30" t="n">
        <x:f>M76</x:f>
        <x:v>0.2</x:v>
      </x:c>
      <x:c r="H77" s="30" t="n">
        <x:f>N76</x:f>
        <x:v>0.2</x:v>
      </x:c>
      <x:c r="I77" s="30" t="n">
        <x:f>O76</x:f>
        <x:v>-0.2</x:v>
      </x:c>
      <x:c r="J77" s="30" t="n">
        <x:f>G77*D77+H77*E77+I77</x:f>
        <x:v>0.2</x:v>
      </x:c>
      <x:c r="K77" s="30" t="n">
        <x:f>IF(J77&gt;=0,1,-1)</x:f>
        <x:v>1</x:v>
      </x:c>
      <x:c r="L77" s="30" t="n">
        <x:f>IF(K77=F77,0,1)</x:f>
        <x:v>0</x:v>
      </x:c>
      <x:c r="M77" s="30" t="n">
        <x:f>G77+'Parametreler'!$B$6*F77*D77*L77</x:f>
        <x:v>0.2</x:v>
      </x:c>
      <x:c r="N77" s="30" t="n">
        <x:f>H77+'Parametreler'!$B$6*F77*E77*L77</x:f>
        <x:v>0.2</x:v>
      </x:c>
      <x:c r="O77" s="30" t="n">
        <x:f>I77+'Parametreler'!$B$6*F77*L77</x:f>
        <x:v>-0.2</x:v>
      </x:c>
      <x:c r="P77" t="n">
        <x:f>1-L77</x:f>
        <x:v>1</x:v>
      </x:c>
    </x:row>
    <x:row r="78">
      <x:c r="A78" t="n">
        <x:f>73</x:f>
        <x:v>73</x:v>
      </x:c>
      <x:c r="B78" t="n">
        <x:f>INT((A78-1)/'Parametreler'!$B$11)+1</x:f>
        <x:v>19</x:v>
      </x:c>
      <x:c r="C78" t="n">
        <x:f>MOD(A78-1,'Parametreler'!$B$11)+1</x:f>
        <x:v>1</x:v>
      </x:c>
      <x:c r="D78" t="n">
        <x:f>INDEX('Veri Kümesi'!$B$6:$B$9,C78)</x:f>
        <x:v>-1</x:v>
      </x:c>
      <x:c r="E78" t="n">
        <x:f>INDEX('Veri Kümesi'!$C$6:$C$9,C78)</x:f>
        <x:v>-1</x:v>
      </x:c>
      <x:c r="F78" t="n">
        <x:f>INDEX('Veri Kümesi'!$D$6:$D$9,C78)</x:f>
        <x:v>-1</x:v>
      </x:c>
      <x:c r="G78" s="30" t="n">
        <x:f>M77</x:f>
        <x:v>0.2</x:v>
      </x:c>
      <x:c r="H78" s="30" t="n">
        <x:f>N77</x:f>
        <x:v>0.2</x:v>
      </x:c>
      <x:c r="I78" s="30" t="n">
        <x:f>O77</x:f>
        <x:v>-0.2</x:v>
      </x:c>
      <x:c r="J78" s="30" t="n">
        <x:f>G78*D78+H78*E78+I78</x:f>
        <x:v>-0.6000000000000001</x:v>
      </x:c>
      <x:c r="K78" s="30" t="n">
        <x:f>IF(J78&gt;=0,1,-1)</x:f>
        <x:v>-1</x:v>
      </x:c>
      <x:c r="L78" s="30" t="n">
        <x:f>IF(K78=F78,0,1)</x:f>
        <x:v>0</x:v>
      </x:c>
      <x:c r="M78" s="30" t="n">
        <x:f>G78+'Parametreler'!$B$6*F78*D78*L78</x:f>
        <x:v>0.2</x:v>
      </x:c>
      <x:c r="N78" s="30" t="n">
        <x:f>H78+'Parametreler'!$B$6*F78*E78*L78</x:f>
        <x:v>0.2</x:v>
      </x:c>
      <x:c r="O78" s="30" t="n">
        <x:f>I78+'Parametreler'!$B$6*F78*L78</x:f>
        <x:v>-0.2</x:v>
      </x:c>
      <x:c r="P78" t="n">
        <x:f>1-L78</x:f>
        <x:v>1</x:v>
      </x:c>
    </x:row>
    <x:row r="79">
      <x:c r="A79" t="n">
        <x:f>74</x:f>
        <x:v>74</x:v>
      </x:c>
      <x:c r="B79" t="n">
        <x:f>INT((A79-1)/'Parametreler'!$B$11)+1</x:f>
        <x:v>19</x:v>
      </x:c>
      <x:c r="C79" t="n">
        <x:f>MOD(A79-1,'Parametreler'!$B$11)+1</x:f>
        <x:v>2</x:v>
      </x:c>
      <x:c r="D79" t="n">
        <x:f>INDEX('Veri Kümesi'!$B$6:$B$9,C79)</x:f>
        <x:v>-1</x:v>
      </x:c>
      <x:c r="E79" t="n">
        <x:f>INDEX('Veri Kümesi'!$C$6:$C$9,C79)</x:f>
        <x:v>1</x:v>
      </x:c>
      <x:c r="F79" t="n">
        <x:f>INDEX('Veri Kümesi'!$D$6:$D$9,C79)</x:f>
        <x:v>-1</x:v>
      </x:c>
      <x:c r="G79" s="30" t="n">
        <x:f>M78</x:f>
        <x:v>0.2</x:v>
      </x:c>
      <x:c r="H79" s="30" t="n">
        <x:f>N78</x:f>
        <x:v>0.2</x:v>
      </x:c>
      <x:c r="I79" s="30" t="n">
        <x:f>O78</x:f>
        <x:v>-0.2</x:v>
      </x:c>
      <x:c r="J79" s="30" t="n">
        <x:f>G79*D79+H79*E79+I79</x:f>
        <x:v>-0.2</x:v>
      </x:c>
      <x:c r="K79" s="30" t="n">
        <x:f>IF(J79&gt;=0,1,-1)</x:f>
        <x:v>-1</x:v>
      </x:c>
      <x:c r="L79" s="30" t="n">
        <x:f>IF(K79=F79,0,1)</x:f>
        <x:v>0</x:v>
      </x:c>
      <x:c r="M79" s="30" t="n">
        <x:f>G79+'Parametreler'!$B$6*F79*D79*L79</x:f>
        <x:v>0.2</x:v>
      </x:c>
      <x:c r="N79" s="30" t="n">
        <x:f>H79+'Parametreler'!$B$6*F79*E79*L79</x:f>
        <x:v>0.2</x:v>
      </x:c>
      <x:c r="O79" s="30" t="n">
        <x:f>I79+'Parametreler'!$B$6*F79*L79</x:f>
        <x:v>-0.2</x:v>
      </x:c>
      <x:c r="P79" t="n">
        <x:f>1-L79</x:f>
        <x:v>1</x:v>
      </x:c>
    </x:row>
    <x:row r="80">
      <x:c r="A80" t="n">
        <x:f>75</x:f>
        <x:v>75</x:v>
      </x:c>
      <x:c r="B80" t="n">
        <x:f>INT((A80-1)/'Parametreler'!$B$11)+1</x:f>
        <x:v>19</x:v>
      </x:c>
      <x:c r="C80" t="n">
        <x:f>MOD(A80-1,'Parametreler'!$B$11)+1</x:f>
        <x:v>3</x:v>
      </x:c>
      <x:c r="D80" t="n">
        <x:f>INDEX('Veri Kümesi'!$B$6:$B$9,C80)</x:f>
        <x:v>1</x:v>
      </x:c>
      <x:c r="E80" t="n">
        <x:f>INDEX('Veri Kümesi'!$C$6:$C$9,C80)</x:f>
        <x:v>-1</x:v>
      </x:c>
      <x:c r="F80" t="n">
        <x:f>INDEX('Veri Kümesi'!$D$6:$D$9,C80)</x:f>
        <x:v>-1</x:v>
      </x:c>
      <x:c r="G80" s="30" t="n">
        <x:f>M79</x:f>
        <x:v>0.2</x:v>
      </x:c>
      <x:c r="H80" s="30" t="n">
        <x:f>N79</x:f>
        <x:v>0.2</x:v>
      </x:c>
      <x:c r="I80" s="30" t="n">
        <x:f>O79</x:f>
        <x:v>-0.2</x:v>
      </x:c>
      <x:c r="J80" s="30" t="n">
        <x:f>G80*D80+H80*E80+I80</x:f>
        <x:v>-0.2</x:v>
      </x:c>
      <x:c r="K80" s="30" t="n">
        <x:f>IF(J80&gt;=0,1,-1)</x:f>
        <x:v>-1</x:v>
      </x:c>
      <x:c r="L80" s="30" t="n">
        <x:f>IF(K80=F80,0,1)</x:f>
        <x:v>0</x:v>
      </x:c>
      <x:c r="M80" s="30" t="n">
        <x:f>G80+'Parametreler'!$B$6*F80*D80*L80</x:f>
        <x:v>0.2</x:v>
      </x:c>
      <x:c r="N80" s="30" t="n">
        <x:f>H80+'Parametreler'!$B$6*F80*E80*L80</x:f>
        <x:v>0.2</x:v>
      </x:c>
      <x:c r="O80" s="30" t="n">
        <x:f>I80+'Parametreler'!$B$6*F80*L80</x:f>
        <x:v>-0.2</x:v>
      </x:c>
      <x:c r="P80" t="n">
        <x:f>1-L80</x:f>
        <x:v>1</x:v>
      </x:c>
    </x:row>
    <x:row r="81">
      <x:c r="A81" t="n">
        <x:f>76</x:f>
        <x:v>76</x:v>
      </x:c>
      <x:c r="B81" t="n">
        <x:f>INT((A81-1)/'Parametreler'!$B$11)+1</x:f>
        <x:v>19</x:v>
      </x:c>
      <x:c r="C81" t="n">
        <x:f>MOD(A81-1,'Parametreler'!$B$11)+1</x:f>
        <x:v>4</x:v>
      </x:c>
      <x:c r="D81" t="n">
        <x:f>INDEX('Veri Kümesi'!$B$6:$B$9,C81)</x:f>
        <x:v>1</x:v>
      </x:c>
      <x:c r="E81" t="n">
        <x:f>INDEX('Veri Kümesi'!$C$6:$C$9,C81)</x:f>
        <x:v>1</x:v>
      </x:c>
      <x:c r="F81" t="n">
        <x:f>INDEX('Veri Kümesi'!$D$6:$D$9,C81)</x:f>
        <x:v>1</x:v>
      </x:c>
      <x:c r="G81" s="30" t="n">
        <x:f>M80</x:f>
        <x:v>0.2</x:v>
      </x:c>
      <x:c r="H81" s="30" t="n">
        <x:f>N80</x:f>
        <x:v>0.2</x:v>
      </x:c>
      <x:c r="I81" s="30" t="n">
        <x:f>O80</x:f>
        <x:v>-0.2</x:v>
      </x:c>
      <x:c r="J81" s="30" t="n">
        <x:f>G81*D81+H81*E81+I81</x:f>
        <x:v>0.2</x:v>
      </x:c>
      <x:c r="K81" s="30" t="n">
        <x:f>IF(J81&gt;=0,1,-1)</x:f>
        <x:v>1</x:v>
      </x:c>
      <x:c r="L81" s="30" t="n">
        <x:f>IF(K81=F81,0,1)</x:f>
        <x:v>0</x:v>
      </x:c>
      <x:c r="M81" s="30" t="n">
        <x:f>G81+'Parametreler'!$B$6*F81*D81*L81</x:f>
        <x:v>0.2</x:v>
      </x:c>
      <x:c r="N81" s="30" t="n">
        <x:f>H81+'Parametreler'!$B$6*F81*E81*L81</x:f>
        <x:v>0.2</x:v>
      </x:c>
      <x:c r="O81" s="30" t="n">
        <x:f>I81+'Parametreler'!$B$6*F81*L81</x:f>
        <x:v>-0.2</x:v>
      </x:c>
      <x:c r="P81" t="n">
        <x:f>1-L81</x:f>
        <x:v>1</x:v>
      </x:c>
    </x:row>
    <x:row r="82">
      <x:c r="A82" t="n">
        <x:f>77</x:f>
        <x:v>77</x:v>
      </x:c>
      <x:c r="B82" t="n">
        <x:f>INT((A82-1)/'Parametreler'!$B$11)+1</x:f>
        <x:v>20</x:v>
      </x:c>
      <x:c r="C82" t="n">
        <x:f>MOD(A82-1,'Parametreler'!$B$11)+1</x:f>
        <x:v>1</x:v>
      </x:c>
      <x:c r="D82" t="n">
        <x:f>INDEX('Veri Kümesi'!$B$6:$B$9,C82)</x:f>
        <x:v>-1</x:v>
      </x:c>
      <x:c r="E82" t="n">
        <x:f>INDEX('Veri Kümesi'!$C$6:$C$9,C82)</x:f>
        <x:v>-1</x:v>
      </x:c>
      <x:c r="F82" t="n">
        <x:f>INDEX('Veri Kümesi'!$D$6:$D$9,C82)</x:f>
        <x:v>-1</x:v>
      </x:c>
      <x:c r="G82" s="30" t="n">
        <x:f>M81</x:f>
        <x:v>0.2</x:v>
      </x:c>
      <x:c r="H82" s="30" t="n">
        <x:f>N81</x:f>
        <x:v>0.2</x:v>
      </x:c>
      <x:c r="I82" s="30" t="n">
        <x:f>O81</x:f>
        <x:v>-0.2</x:v>
      </x:c>
      <x:c r="J82" s="30" t="n">
        <x:f>G82*D82+H82*E82+I82</x:f>
        <x:v>-0.6000000000000001</x:v>
      </x:c>
      <x:c r="K82" s="30" t="n">
        <x:f>IF(J82&gt;=0,1,-1)</x:f>
        <x:v>-1</x:v>
      </x:c>
      <x:c r="L82" s="30" t="n">
        <x:f>IF(K82=F82,0,1)</x:f>
        <x:v>0</x:v>
      </x:c>
      <x:c r="M82" s="30" t="n">
        <x:f>G82+'Parametreler'!$B$6*F82*D82*L82</x:f>
        <x:v>0.2</x:v>
      </x:c>
      <x:c r="N82" s="30" t="n">
        <x:f>H82+'Parametreler'!$B$6*F82*E82*L82</x:f>
        <x:v>0.2</x:v>
      </x:c>
      <x:c r="O82" s="30" t="n">
        <x:f>I82+'Parametreler'!$B$6*F82*L82</x:f>
        <x:v>-0.2</x:v>
      </x:c>
      <x:c r="P82" t="n">
        <x:f>1-L82</x:f>
        <x:v>1</x:v>
      </x:c>
    </x:row>
    <x:row r="83">
      <x:c r="A83" t="n">
        <x:f>78</x:f>
        <x:v>78</x:v>
      </x:c>
      <x:c r="B83" t="n">
        <x:f>INT((A83-1)/'Parametreler'!$B$11)+1</x:f>
        <x:v>20</x:v>
      </x:c>
      <x:c r="C83" t="n">
        <x:f>MOD(A83-1,'Parametreler'!$B$11)+1</x:f>
        <x:v>2</x:v>
      </x:c>
      <x:c r="D83" t="n">
        <x:f>INDEX('Veri Kümesi'!$B$6:$B$9,C83)</x:f>
        <x:v>-1</x:v>
      </x:c>
      <x:c r="E83" t="n">
        <x:f>INDEX('Veri Kümesi'!$C$6:$C$9,C83)</x:f>
        <x:v>1</x:v>
      </x:c>
      <x:c r="F83" t="n">
        <x:f>INDEX('Veri Kümesi'!$D$6:$D$9,C83)</x:f>
        <x:v>-1</x:v>
      </x:c>
      <x:c r="G83" s="30" t="n">
        <x:f>M82</x:f>
        <x:v>0.2</x:v>
      </x:c>
      <x:c r="H83" s="30" t="n">
        <x:f>N82</x:f>
        <x:v>0.2</x:v>
      </x:c>
      <x:c r="I83" s="30" t="n">
        <x:f>O82</x:f>
        <x:v>-0.2</x:v>
      </x:c>
      <x:c r="J83" s="30" t="n">
        <x:f>G83*D83+H83*E83+I83</x:f>
        <x:v>-0.2</x:v>
      </x:c>
      <x:c r="K83" s="30" t="n">
        <x:f>IF(J83&gt;=0,1,-1)</x:f>
        <x:v>-1</x:v>
      </x:c>
      <x:c r="L83" s="30" t="n">
        <x:f>IF(K83=F83,0,1)</x:f>
        <x:v>0</x:v>
      </x:c>
      <x:c r="M83" s="30" t="n">
        <x:f>G83+'Parametreler'!$B$6*F83*D83*L83</x:f>
        <x:v>0.2</x:v>
      </x:c>
      <x:c r="N83" s="30" t="n">
        <x:f>H83+'Parametreler'!$B$6*F83*E83*L83</x:f>
        <x:v>0.2</x:v>
      </x:c>
      <x:c r="O83" s="30" t="n">
        <x:f>I83+'Parametreler'!$B$6*F83*L83</x:f>
        <x:v>-0.2</x:v>
      </x:c>
      <x:c r="P83" t="n">
        <x:f>1-L83</x:f>
        <x:v>1</x:v>
      </x:c>
    </x:row>
    <x:row r="84">
      <x:c r="A84" t="n">
        <x:f>79</x:f>
        <x:v>79</x:v>
      </x:c>
      <x:c r="B84" t="n">
        <x:f>INT((A84-1)/'Parametreler'!$B$11)+1</x:f>
        <x:v>20</x:v>
      </x:c>
      <x:c r="C84" t="n">
        <x:f>MOD(A84-1,'Parametreler'!$B$11)+1</x:f>
        <x:v>3</x:v>
      </x:c>
      <x:c r="D84" t="n">
        <x:f>INDEX('Veri Kümesi'!$B$6:$B$9,C84)</x:f>
        <x:v>1</x:v>
      </x:c>
      <x:c r="E84" t="n">
        <x:f>INDEX('Veri Kümesi'!$C$6:$C$9,C84)</x:f>
        <x:v>-1</x:v>
      </x:c>
      <x:c r="F84" t="n">
        <x:f>INDEX('Veri Kümesi'!$D$6:$D$9,C84)</x:f>
        <x:v>-1</x:v>
      </x:c>
      <x:c r="G84" s="30" t="n">
        <x:f>M83</x:f>
        <x:v>0.2</x:v>
      </x:c>
      <x:c r="H84" s="30" t="n">
        <x:f>N83</x:f>
        <x:v>0.2</x:v>
      </x:c>
      <x:c r="I84" s="30" t="n">
        <x:f>O83</x:f>
        <x:v>-0.2</x:v>
      </x:c>
      <x:c r="J84" s="30" t="n">
        <x:f>G84*D84+H84*E84+I84</x:f>
        <x:v>-0.2</x:v>
      </x:c>
      <x:c r="K84" s="30" t="n">
        <x:f>IF(J84&gt;=0,1,-1)</x:f>
        <x:v>-1</x:v>
      </x:c>
      <x:c r="L84" s="30" t="n">
        <x:f>IF(K84=F84,0,1)</x:f>
        <x:v>0</x:v>
      </x:c>
      <x:c r="M84" s="30" t="n">
        <x:f>G84+'Parametreler'!$B$6*F84*D84*L84</x:f>
        <x:v>0.2</x:v>
      </x:c>
      <x:c r="N84" s="30" t="n">
        <x:f>H84+'Parametreler'!$B$6*F84*E84*L84</x:f>
        <x:v>0.2</x:v>
      </x:c>
      <x:c r="O84" s="30" t="n">
        <x:f>I84+'Parametreler'!$B$6*F84*L84</x:f>
        <x:v>-0.2</x:v>
      </x:c>
      <x:c r="P84" t="n">
        <x:f>1-L84</x:f>
        <x:v>1</x:v>
      </x:c>
    </x:row>
    <x:row r="85">
      <x:c r="A85" t="n">
        <x:f>80</x:f>
        <x:v>80</x:v>
      </x:c>
      <x:c r="B85" t="n">
        <x:f>INT((A85-1)/'Parametreler'!$B$11)+1</x:f>
        <x:v>20</x:v>
      </x:c>
      <x:c r="C85" t="n">
        <x:f>MOD(A85-1,'Parametreler'!$B$11)+1</x:f>
        <x:v>4</x:v>
      </x:c>
      <x:c r="D85" t="n">
        <x:f>INDEX('Veri Kümesi'!$B$6:$B$9,C85)</x:f>
        <x:v>1</x:v>
      </x:c>
      <x:c r="E85" t="n">
        <x:f>INDEX('Veri Kümesi'!$C$6:$C$9,C85)</x:f>
        <x:v>1</x:v>
      </x:c>
      <x:c r="F85" t="n">
        <x:f>INDEX('Veri Kümesi'!$D$6:$D$9,C85)</x:f>
        <x:v>1</x:v>
      </x:c>
      <x:c r="G85" s="30" t="n">
        <x:f>M84</x:f>
        <x:v>0.2</x:v>
      </x:c>
      <x:c r="H85" s="30" t="n">
        <x:f>N84</x:f>
        <x:v>0.2</x:v>
      </x:c>
      <x:c r="I85" s="30" t="n">
        <x:f>O84</x:f>
        <x:v>-0.2</x:v>
      </x:c>
      <x:c r="J85" s="30" t="n">
        <x:f>G85*D85+H85*E85+I85</x:f>
        <x:v>0.2</x:v>
      </x:c>
      <x:c r="K85" s="30" t="n">
        <x:f>IF(J85&gt;=0,1,-1)</x:f>
        <x:v>1</x:v>
      </x:c>
      <x:c r="L85" s="30" t="n">
        <x:f>IF(K85=F85,0,1)</x:f>
        <x:v>0</x:v>
      </x:c>
      <x:c r="M85" s="30" t="n">
        <x:f>G85+'Parametreler'!$B$6*F85*D85*L85</x:f>
        <x:v>0.2</x:v>
      </x:c>
      <x:c r="N85" s="30" t="n">
        <x:f>H85+'Parametreler'!$B$6*F85*E85*L85</x:f>
        <x:v>0.2</x:v>
      </x:c>
      <x:c r="O85" s="30" t="n">
        <x:f>I85+'Parametreler'!$B$6*F85*L85</x:f>
        <x:v>-0.2</x:v>
      </x:c>
      <x:c r="P85" t="n">
        <x:f>1-L85</x:f>
        <x:v>1</x:v>
      </x:c>
    </x:row>
  </x:sheetData>
  <x:mergeCells>
    <x:mergeCell ref="A1:P2"/>
    <x:mergeCell ref="A3:P3"/>
  </x:mergeCells>
  <x:conditionalFormatting sqref="L6:L85">
    <x:cfRule type="cellIs" dxfId="0" priority="1" operator="equal">
      <x:formula>1</x:formula>
    </x:cfRule>
  </x:conditionalFormatting>
  <x:conditionalFormatting sqref="P6:P85">
    <x:cfRule type="cellIs" dxfId="1" priority="2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8" hidden="0" customWidth="1"/>
    <x:col min="13" max="13" width="25" hidden="0" customWidth="1"/>
  </x:cols>
  <x:sheetData>
    <x:row r="1" ht="24" customHeight="1">
      <x:c r="A1" s="4" t="str">
        <x:v>EPOCH SONU PERFORMANS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5" customHeight="1">
      <x:c r="A3" s="9" t="str">
        <x:v>Doğruluk, epoch sonunda elde edilen ağırlıklarla bütün 4 AND örneğinde tekrar ölçülür.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30" customHeight="1">
      <x:c r="A5" s="15" t="str">
        <x:v>Epoch</x:v>
      </x:c>
      <x:c r="B5" s="15" t="str">
        <x:v>Eğitim hatası</x:v>
      </x:c>
      <x:c r="C5" s="15" t="str">
        <x:v>w1 son</x:v>
      </x:c>
      <x:c r="D5" s="15" t="str">
        <x:v>w2 son</x:v>
      </x:c>
      <x:c r="E5" s="15" t="str">
        <x:v>Bias son</x:v>
      </x:c>
      <x:c r="F5" s="15" t="str">
        <x:v>Doğru örnek</x:v>
      </x:c>
      <x:c r="G5" s="15" t="str">
        <x:v>Doğruluk</x:v>
      </x:c>
      <x:c r="H5" s="15" t="str">
        <x:v>x1=-1,x2=-1</x:v>
      </x:c>
      <x:c r="I5" s="15" t="str">
        <x:v>x1=-1,x2=+1</x:v>
      </x:c>
      <x:c r="J5" s="15" t="str">
        <x:v>x1=+1,x2=-1</x:v>
      </x:c>
      <x:c r="K5" s="15" t="str">
        <x:v>x1=+1,x2=+1</x:v>
      </x:c>
      <x:c r="L5" s="15" t="str">
        <x:v>Yanlış sınıf</x:v>
      </x:c>
      <x:c r="M5" s="15" t="str">
        <x:v>Yorum</x:v>
      </x:c>
    </x:row>
    <x:row r="6">
      <x:c r="A6" t="n">
        <x:f>1</x:f>
        <x:v>1</x:v>
      </x:c>
      <x:c r="B6" t="n">
        <x:f>SUMIF('Eğitim Adımları'!$B$6:$B$85,A6,'Eğitim Adımları'!$L$6:$L$85)</x:f>
        <x:v>1</x:v>
      </x:c>
      <x:c r="C6" s="30" t="n">
        <x:f>'Eğitim Adımları'!M9</x:f>
        <x:v>0.2</x:v>
      </x:c>
      <x:c r="D6" s="30" t="n">
        <x:f>'Eğitim Adımları'!N9</x:f>
        <x:v>0.2</x:v>
      </x:c>
      <x:c r="E6" s="30" t="n">
        <x:f>'Eğitim Adımları'!O9</x:f>
        <x:v>-0.2</x:v>
      </x:c>
      <x:c r="F6" t="n">
        <x:f>4-L6</x:f>
        <x:v>4</x:v>
      </x:c>
      <x:c r="G6" s="32" t="n">
        <x:f>F6/4</x:f>
        <x:v>1</x:v>
      </x:c>
      <x:c r="H6" t="n">
        <x:f>IF(C6*'Veri Kümesi'!B6+D6*'Veri Kümesi'!C6+E6&gt;=0,1,-1)</x:f>
        <x:v>-1</x:v>
      </x:c>
      <x:c r="I6" t="n">
        <x:f>IF(C6*'Veri Kümesi'!B7+D6*'Veri Kümesi'!C7+E6&gt;=0,1,-1)</x:f>
        <x:v>-1</x:v>
      </x:c>
      <x:c r="J6" t="n">
        <x:f>IF(C6*'Veri Kümesi'!B8+D6*'Veri Kümesi'!C8+E6&gt;=0,1,-1)</x:f>
        <x:v>-1</x:v>
      </x:c>
      <x:c r="K6" t="n">
        <x:f>IF(C6*'Veri Kümesi'!B9+D6*'Veri Kümesi'!C9+E6&gt;=0,1,-1)</x:f>
        <x:v>1</x:v>
      </x:c>
      <x:c r="L6" t="n">
        <x:f>IF(H6='Veri Kümesi'!D6,0,1)+IF(I6='Veri Kümesi'!D7,0,1)+IF(J6='Veri Kümesi'!D8,0,1)+IF(K6='Veri Kümesi'!D9,0,1)</x:f>
        <x:v>0</x:v>
      </x:c>
      <x:c r="M6" t="str">
        <x:f>IF(L6=0,"Tüm örnekler doğru","Eğitim sürüyor")</x:f>
        <x:v>Tüm örnekler doğru</x:v>
      </x:c>
    </x:row>
    <x:row r="7">
      <x:c r="A7" t="n">
        <x:f>2</x:f>
        <x:v>2</x:v>
      </x:c>
      <x:c r="B7" t="n">
        <x:f>SUMIF('Eğitim Adımları'!$B$6:$B$85,A7,'Eğitim Adımları'!$L$6:$L$85)</x:f>
        <x:v>0</x:v>
      </x:c>
      <x:c r="C7" s="30" t="n">
        <x:f>'Eğitim Adımları'!M13</x:f>
        <x:v>0.2</x:v>
      </x:c>
      <x:c r="D7" s="30" t="n">
        <x:f>'Eğitim Adımları'!N13</x:f>
        <x:v>0.2</x:v>
      </x:c>
      <x:c r="E7" s="30" t="n">
        <x:f>'Eğitim Adımları'!O13</x:f>
        <x:v>-0.2</x:v>
      </x:c>
      <x:c r="F7" t="n">
        <x:f>4-L7</x:f>
        <x:v>4</x:v>
      </x:c>
      <x:c r="G7" s="32" t="n">
        <x:f>F7/4</x:f>
        <x:v>1</x:v>
      </x:c>
      <x:c r="H7" t="n">
        <x:f>IF(C7*'Veri Kümesi'!B6+D7*'Veri Kümesi'!C6+E7&gt;=0,1,-1)</x:f>
        <x:v>-1</x:v>
      </x:c>
      <x:c r="I7" t="n">
        <x:f>IF(C7*'Veri Kümesi'!B7+D7*'Veri Kümesi'!C7+E7&gt;=0,1,-1)</x:f>
        <x:v>-1</x:v>
      </x:c>
      <x:c r="J7" t="n">
        <x:f>IF(C7*'Veri Kümesi'!B8+D7*'Veri Kümesi'!C8+E7&gt;=0,1,-1)</x:f>
        <x:v>-1</x:v>
      </x:c>
      <x:c r="K7" t="n">
        <x:f>IF(C7*'Veri Kümesi'!B9+D7*'Veri Kümesi'!C9+E7&gt;=0,1,-1)</x:f>
        <x:v>1</x:v>
      </x:c>
      <x:c r="L7" t="n">
        <x:f>IF(H7='Veri Kümesi'!D6,0,1)+IF(I7='Veri Kümesi'!D7,0,1)+IF(J7='Veri Kümesi'!D8,0,1)+IF(K7='Veri Kümesi'!D9,0,1)</x:f>
        <x:v>0</x:v>
      </x:c>
      <x:c r="M7" t="str">
        <x:f>IF(L7=0,"Tüm örnekler doğru","Eğitim sürüyor")</x:f>
        <x:v>Tüm örnekler doğru</x:v>
      </x:c>
    </x:row>
    <x:row r="8">
      <x:c r="A8" t="n">
        <x:f>3</x:f>
        <x:v>3</x:v>
      </x:c>
      <x:c r="B8" t="n">
        <x:f>SUMIF('Eğitim Adımları'!$B$6:$B$85,A8,'Eğitim Adımları'!$L$6:$L$85)</x:f>
        <x:v>0</x:v>
      </x:c>
      <x:c r="C8" s="30" t="n">
        <x:f>'Eğitim Adımları'!M17</x:f>
        <x:v>0.2</x:v>
      </x:c>
      <x:c r="D8" s="30" t="n">
        <x:f>'Eğitim Adımları'!N17</x:f>
        <x:v>0.2</x:v>
      </x:c>
      <x:c r="E8" s="30" t="n">
        <x:f>'Eğitim Adımları'!O17</x:f>
        <x:v>-0.2</x:v>
      </x:c>
      <x:c r="F8" t="n">
        <x:f>4-L8</x:f>
        <x:v>4</x:v>
      </x:c>
      <x:c r="G8" s="32" t="n">
        <x:f>F8/4</x:f>
        <x:v>1</x:v>
      </x:c>
      <x:c r="H8" t="n">
        <x:f>IF(C8*'Veri Kümesi'!B6+D8*'Veri Kümesi'!C6+E8&gt;=0,1,-1)</x:f>
        <x:v>-1</x:v>
      </x:c>
      <x:c r="I8" t="n">
        <x:f>IF(C8*'Veri Kümesi'!B7+D8*'Veri Kümesi'!C7+E8&gt;=0,1,-1)</x:f>
        <x:v>-1</x:v>
      </x:c>
      <x:c r="J8" t="n">
        <x:f>IF(C8*'Veri Kümesi'!B8+D8*'Veri Kümesi'!C8+E8&gt;=0,1,-1)</x:f>
        <x:v>-1</x:v>
      </x:c>
      <x:c r="K8" t="n">
        <x:f>IF(C8*'Veri Kümesi'!B9+D8*'Veri Kümesi'!C9+E8&gt;=0,1,-1)</x:f>
        <x:v>1</x:v>
      </x:c>
      <x:c r="L8" t="n">
        <x:f>IF(H8='Veri Kümesi'!D6,0,1)+IF(I8='Veri Kümesi'!D7,0,1)+IF(J8='Veri Kümesi'!D8,0,1)+IF(K8='Veri Kümesi'!D9,0,1)</x:f>
        <x:v>0</x:v>
      </x:c>
      <x:c r="M8" t="str">
        <x:f>IF(L8=0,"Tüm örnekler doğru","Eğitim sürüyor")</x:f>
        <x:v>Tüm örnekler doğru</x:v>
      </x:c>
    </x:row>
    <x:row r="9">
      <x:c r="A9" t="n">
        <x:f>4</x:f>
        <x:v>4</x:v>
      </x:c>
      <x:c r="B9" t="n">
        <x:f>SUMIF('Eğitim Adımları'!$B$6:$B$85,A9,'Eğitim Adımları'!$L$6:$L$85)</x:f>
        <x:v>0</x:v>
      </x:c>
      <x:c r="C9" s="30" t="n">
        <x:f>'Eğitim Adımları'!M21</x:f>
        <x:v>0.2</x:v>
      </x:c>
      <x:c r="D9" s="30" t="n">
        <x:f>'Eğitim Adımları'!N21</x:f>
        <x:v>0.2</x:v>
      </x:c>
      <x:c r="E9" s="30" t="n">
        <x:f>'Eğitim Adımları'!O21</x:f>
        <x:v>-0.2</x:v>
      </x:c>
      <x:c r="F9" t="n">
        <x:f>4-L9</x:f>
        <x:v>4</x:v>
      </x:c>
      <x:c r="G9" s="32" t="n">
        <x:f>F9/4</x:f>
        <x:v>1</x:v>
      </x:c>
      <x:c r="H9" t="n">
        <x:f>IF(C9*'Veri Kümesi'!B6+D9*'Veri Kümesi'!C6+E9&gt;=0,1,-1)</x:f>
        <x:v>-1</x:v>
      </x:c>
      <x:c r="I9" t="n">
        <x:f>IF(C9*'Veri Kümesi'!B7+D9*'Veri Kümesi'!C7+E9&gt;=0,1,-1)</x:f>
        <x:v>-1</x:v>
      </x:c>
      <x:c r="J9" t="n">
        <x:f>IF(C9*'Veri Kümesi'!B8+D9*'Veri Kümesi'!C8+E9&gt;=0,1,-1)</x:f>
        <x:v>-1</x:v>
      </x:c>
      <x:c r="K9" t="n">
        <x:f>IF(C9*'Veri Kümesi'!B9+D9*'Veri Kümesi'!C9+E9&gt;=0,1,-1)</x:f>
        <x:v>1</x:v>
      </x:c>
      <x:c r="L9" t="n">
        <x:f>IF(H9='Veri Kümesi'!D6,0,1)+IF(I9='Veri Kümesi'!D7,0,1)+IF(J9='Veri Kümesi'!D8,0,1)+IF(K9='Veri Kümesi'!D9,0,1)</x:f>
        <x:v>0</x:v>
      </x:c>
      <x:c r="M9" t="str">
        <x:f>IF(L9=0,"Tüm örnekler doğru","Eğitim sürüyor")</x:f>
        <x:v>Tüm örnekler doğru</x:v>
      </x:c>
    </x:row>
    <x:row r="10">
      <x:c r="A10" t="n">
        <x:f>5</x:f>
        <x:v>5</x:v>
      </x:c>
      <x:c r="B10" t="n">
        <x:f>SUMIF('Eğitim Adımları'!$B$6:$B$85,A10,'Eğitim Adımları'!$L$6:$L$85)</x:f>
        <x:v>0</x:v>
      </x:c>
      <x:c r="C10" s="30" t="n">
        <x:f>'Eğitim Adımları'!M25</x:f>
        <x:v>0.2</x:v>
      </x:c>
      <x:c r="D10" s="30" t="n">
        <x:f>'Eğitim Adımları'!N25</x:f>
        <x:v>0.2</x:v>
      </x:c>
      <x:c r="E10" s="30" t="n">
        <x:f>'Eğitim Adımları'!O25</x:f>
        <x:v>-0.2</x:v>
      </x:c>
      <x:c r="F10" t="n">
        <x:f>4-L10</x:f>
        <x:v>4</x:v>
      </x:c>
      <x:c r="G10" s="32" t="n">
        <x:f>F10/4</x:f>
        <x:v>1</x:v>
      </x:c>
      <x:c r="H10" t="n">
        <x:f>IF(C10*'Veri Kümesi'!B6+D10*'Veri Kümesi'!C6+E10&gt;=0,1,-1)</x:f>
        <x:v>-1</x:v>
      </x:c>
      <x:c r="I10" t="n">
        <x:f>IF(C10*'Veri Kümesi'!B7+D10*'Veri Kümesi'!C7+E10&gt;=0,1,-1)</x:f>
        <x:v>-1</x:v>
      </x:c>
      <x:c r="J10" t="n">
        <x:f>IF(C10*'Veri Kümesi'!B8+D10*'Veri Kümesi'!C8+E10&gt;=0,1,-1)</x:f>
        <x:v>-1</x:v>
      </x:c>
      <x:c r="K10" t="n">
        <x:f>IF(C10*'Veri Kümesi'!B9+D10*'Veri Kümesi'!C9+E10&gt;=0,1,-1)</x:f>
        <x:v>1</x:v>
      </x:c>
      <x:c r="L10" t="n">
        <x:f>IF(H10='Veri Kümesi'!D6,0,1)+IF(I10='Veri Kümesi'!D7,0,1)+IF(J10='Veri Kümesi'!D8,0,1)+IF(K10='Veri Kümesi'!D9,0,1)</x:f>
        <x:v>0</x:v>
      </x:c>
      <x:c r="M10" t="str">
        <x:f>IF(L10=0,"Tüm örnekler doğru","Eğitim sürüyor")</x:f>
        <x:v>Tüm örnekler doğru</x:v>
      </x:c>
    </x:row>
    <x:row r="11">
      <x:c r="A11" t="n">
        <x:f>6</x:f>
        <x:v>6</x:v>
      </x:c>
      <x:c r="B11" t="n">
        <x:f>SUMIF('Eğitim Adımları'!$B$6:$B$85,A11,'Eğitim Adımları'!$L$6:$L$85)</x:f>
        <x:v>0</x:v>
      </x:c>
      <x:c r="C11" s="30" t="n">
        <x:f>'Eğitim Adımları'!M29</x:f>
        <x:v>0.2</x:v>
      </x:c>
      <x:c r="D11" s="30" t="n">
        <x:f>'Eğitim Adımları'!N29</x:f>
        <x:v>0.2</x:v>
      </x:c>
      <x:c r="E11" s="30" t="n">
        <x:f>'Eğitim Adımları'!O29</x:f>
        <x:v>-0.2</x:v>
      </x:c>
      <x:c r="F11" t="n">
        <x:f>4-L11</x:f>
        <x:v>4</x:v>
      </x:c>
      <x:c r="G11" s="32" t="n">
        <x:f>F11/4</x:f>
        <x:v>1</x:v>
      </x:c>
      <x:c r="H11" t="n">
        <x:f>IF(C11*'Veri Kümesi'!B6+D11*'Veri Kümesi'!C6+E11&gt;=0,1,-1)</x:f>
        <x:v>-1</x:v>
      </x:c>
      <x:c r="I11" t="n">
        <x:f>IF(C11*'Veri Kümesi'!B7+D11*'Veri Kümesi'!C7+E11&gt;=0,1,-1)</x:f>
        <x:v>-1</x:v>
      </x:c>
      <x:c r="J11" t="n">
        <x:f>IF(C11*'Veri Kümesi'!B8+D11*'Veri Kümesi'!C8+E11&gt;=0,1,-1)</x:f>
        <x:v>-1</x:v>
      </x:c>
      <x:c r="K11" t="n">
        <x:f>IF(C11*'Veri Kümesi'!B9+D11*'Veri Kümesi'!C9+E11&gt;=0,1,-1)</x:f>
        <x:v>1</x:v>
      </x:c>
      <x:c r="L11" t="n">
        <x:f>IF(H11='Veri Kümesi'!D6,0,1)+IF(I11='Veri Kümesi'!D7,0,1)+IF(J11='Veri Kümesi'!D8,0,1)+IF(K11='Veri Kümesi'!D9,0,1)</x:f>
        <x:v>0</x:v>
      </x:c>
      <x:c r="M11" t="str">
        <x:f>IF(L11=0,"Tüm örnekler doğru","Eğitim sürüyor")</x:f>
        <x:v>Tüm örnekler doğru</x:v>
      </x:c>
    </x:row>
    <x:row r="12">
      <x:c r="A12" t="n">
        <x:f>7</x:f>
        <x:v>7</x:v>
      </x:c>
      <x:c r="B12" t="n">
        <x:f>SUMIF('Eğitim Adımları'!$B$6:$B$85,A12,'Eğitim Adımları'!$L$6:$L$85)</x:f>
        <x:v>0</x:v>
      </x:c>
      <x:c r="C12" s="30" t="n">
        <x:f>'Eğitim Adımları'!M33</x:f>
        <x:v>0.2</x:v>
      </x:c>
      <x:c r="D12" s="30" t="n">
        <x:f>'Eğitim Adımları'!N33</x:f>
        <x:v>0.2</x:v>
      </x:c>
      <x:c r="E12" s="30" t="n">
        <x:f>'Eğitim Adımları'!O33</x:f>
        <x:v>-0.2</x:v>
      </x:c>
      <x:c r="F12" t="n">
        <x:f>4-L12</x:f>
        <x:v>4</x:v>
      </x:c>
      <x:c r="G12" s="32" t="n">
        <x:f>F12/4</x:f>
        <x:v>1</x:v>
      </x:c>
      <x:c r="H12" t="n">
        <x:f>IF(C12*'Veri Kümesi'!B6+D12*'Veri Kümesi'!C6+E12&gt;=0,1,-1)</x:f>
        <x:v>-1</x:v>
      </x:c>
      <x:c r="I12" t="n">
        <x:f>IF(C12*'Veri Kümesi'!B7+D12*'Veri Kümesi'!C7+E12&gt;=0,1,-1)</x:f>
        <x:v>-1</x:v>
      </x:c>
      <x:c r="J12" t="n">
        <x:f>IF(C12*'Veri Kümesi'!B8+D12*'Veri Kümesi'!C8+E12&gt;=0,1,-1)</x:f>
        <x:v>-1</x:v>
      </x:c>
      <x:c r="K12" t="n">
        <x:f>IF(C12*'Veri Kümesi'!B9+D12*'Veri Kümesi'!C9+E12&gt;=0,1,-1)</x:f>
        <x:v>1</x:v>
      </x:c>
      <x:c r="L12" t="n">
        <x:f>IF(H12='Veri Kümesi'!D6,0,1)+IF(I12='Veri Kümesi'!D7,0,1)+IF(J12='Veri Kümesi'!D8,0,1)+IF(K12='Veri Kümesi'!D9,0,1)</x:f>
        <x:v>0</x:v>
      </x:c>
      <x:c r="M12" t="str">
        <x:f>IF(L12=0,"Tüm örnekler doğru","Eğitim sürüyor")</x:f>
        <x:v>Tüm örnekler doğru</x:v>
      </x:c>
    </x:row>
    <x:row r="13">
      <x:c r="A13" t="n">
        <x:f>8</x:f>
        <x:v>8</x:v>
      </x:c>
      <x:c r="B13" t="n">
        <x:f>SUMIF('Eğitim Adımları'!$B$6:$B$85,A13,'Eğitim Adımları'!$L$6:$L$85)</x:f>
        <x:v>0</x:v>
      </x:c>
      <x:c r="C13" s="30" t="n">
        <x:f>'Eğitim Adımları'!M37</x:f>
        <x:v>0.2</x:v>
      </x:c>
      <x:c r="D13" s="30" t="n">
        <x:f>'Eğitim Adımları'!N37</x:f>
        <x:v>0.2</x:v>
      </x:c>
      <x:c r="E13" s="30" t="n">
        <x:f>'Eğitim Adımları'!O37</x:f>
        <x:v>-0.2</x:v>
      </x:c>
      <x:c r="F13" t="n">
        <x:f>4-L13</x:f>
        <x:v>4</x:v>
      </x:c>
      <x:c r="G13" s="32" t="n">
        <x:f>F13/4</x:f>
        <x:v>1</x:v>
      </x:c>
      <x:c r="H13" t="n">
        <x:f>IF(C13*'Veri Kümesi'!B6+D13*'Veri Kümesi'!C6+E13&gt;=0,1,-1)</x:f>
        <x:v>-1</x:v>
      </x:c>
      <x:c r="I13" t="n">
        <x:f>IF(C13*'Veri Kümesi'!B7+D13*'Veri Kümesi'!C7+E13&gt;=0,1,-1)</x:f>
        <x:v>-1</x:v>
      </x:c>
      <x:c r="J13" t="n">
        <x:f>IF(C13*'Veri Kümesi'!B8+D13*'Veri Kümesi'!C8+E13&gt;=0,1,-1)</x:f>
        <x:v>-1</x:v>
      </x:c>
      <x:c r="K13" t="n">
        <x:f>IF(C13*'Veri Kümesi'!B9+D13*'Veri Kümesi'!C9+E13&gt;=0,1,-1)</x:f>
        <x:v>1</x:v>
      </x:c>
      <x:c r="L13" t="n">
        <x:f>IF(H13='Veri Kümesi'!D6,0,1)+IF(I13='Veri Kümesi'!D7,0,1)+IF(J13='Veri Kümesi'!D8,0,1)+IF(K13='Veri Kümesi'!D9,0,1)</x:f>
        <x:v>0</x:v>
      </x:c>
      <x:c r="M13" t="str">
        <x:f>IF(L13=0,"Tüm örnekler doğru","Eğitim sürüyor")</x:f>
        <x:v>Tüm örnekler doğru</x:v>
      </x:c>
    </x:row>
    <x:row r="14">
      <x:c r="A14" t="n">
        <x:f>9</x:f>
        <x:v>9</x:v>
      </x:c>
      <x:c r="B14" t="n">
        <x:f>SUMIF('Eğitim Adımları'!$B$6:$B$85,A14,'Eğitim Adımları'!$L$6:$L$85)</x:f>
        <x:v>0</x:v>
      </x:c>
      <x:c r="C14" s="30" t="n">
        <x:f>'Eğitim Adımları'!M41</x:f>
        <x:v>0.2</x:v>
      </x:c>
      <x:c r="D14" s="30" t="n">
        <x:f>'Eğitim Adımları'!N41</x:f>
        <x:v>0.2</x:v>
      </x:c>
      <x:c r="E14" s="30" t="n">
        <x:f>'Eğitim Adımları'!O41</x:f>
        <x:v>-0.2</x:v>
      </x:c>
      <x:c r="F14" t="n">
        <x:f>4-L14</x:f>
        <x:v>4</x:v>
      </x:c>
      <x:c r="G14" s="32" t="n">
        <x:f>F14/4</x:f>
        <x:v>1</x:v>
      </x:c>
      <x:c r="H14" t="n">
        <x:f>IF(C14*'Veri Kümesi'!B6+D14*'Veri Kümesi'!C6+E14&gt;=0,1,-1)</x:f>
        <x:v>-1</x:v>
      </x:c>
      <x:c r="I14" t="n">
        <x:f>IF(C14*'Veri Kümesi'!B7+D14*'Veri Kümesi'!C7+E14&gt;=0,1,-1)</x:f>
        <x:v>-1</x:v>
      </x:c>
      <x:c r="J14" t="n">
        <x:f>IF(C14*'Veri Kümesi'!B8+D14*'Veri Kümesi'!C8+E14&gt;=0,1,-1)</x:f>
        <x:v>-1</x:v>
      </x:c>
      <x:c r="K14" t="n">
        <x:f>IF(C14*'Veri Kümesi'!B9+D14*'Veri Kümesi'!C9+E14&gt;=0,1,-1)</x:f>
        <x:v>1</x:v>
      </x:c>
      <x:c r="L14" t="n">
        <x:f>IF(H14='Veri Kümesi'!D6,0,1)+IF(I14='Veri Kümesi'!D7,0,1)+IF(J14='Veri Kümesi'!D8,0,1)+IF(K14='Veri Kümesi'!D9,0,1)</x:f>
        <x:v>0</x:v>
      </x:c>
      <x:c r="M14" t="str">
        <x:f>IF(L14=0,"Tüm örnekler doğru","Eğitim sürüyor")</x:f>
        <x:v>Tüm örnekler doğru</x:v>
      </x:c>
    </x:row>
    <x:row r="15">
      <x:c r="A15" t="n">
        <x:f>10</x:f>
        <x:v>10</x:v>
      </x:c>
      <x:c r="B15" t="n">
        <x:f>SUMIF('Eğitim Adımları'!$B$6:$B$85,A15,'Eğitim Adımları'!$L$6:$L$85)</x:f>
        <x:v>0</x:v>
      </x:c>
      <x:c r="C15" s="30" t="n">
        <x:f>'Eğitim Adımları'!M45</x:f>
        <x:v>0.2</x:v>
      </x:c>
      <x:c r="D15" s="30" t="n">
        <x:f>'Eğitim Adımları'!N45</x:f>
        <x:v>0.2</x:v>
      </x:c>
      <x:c r="E15" s="30" t="n">
        <x:f>'Eğitim Adımları'!O45</x:f>
        <x:v>-0.2</x:v>
      </x:c>
      <x:c r="F15" t="n">
        <x:f>4-L15</x:f>
        <x:v>4</x:v>
      </x:c>
      <x:c r="G15" s="32" t="n">
        <x:f>F15/4</x:f>
        <x:v>1</x:v>
      </x:c>
      <x:c r="H15" t="n">
        <x:f>IF(C15*'Veri Kümesi'!B6+D15*'Veri Kümesi'!C6+E15&gt;=0,1,-1)</x:f>
        <x:v>-1</x:v>
      </x:c>
      <x:c r="I15" t="n">
        <x:f>IF(C15*'Veri Kümesi'!B7+D15*'Veri Kümesi'!C7+E15&gt;=0,1,-1)</x:f>
        <x:v>-1</x:v>
      </x:c>
      <x:c r="J15" t="n">
        <x:f>IF(C15*'Veri Kümesi'!B8+D15*'Veri Kümesi'!C8+E15&gt;=0,1,-1)</x:f>
        <x:v>-1</x:v>
      </x:c>
      <x:c r="K15" t="n">
        <x:f>IF(C15*'Veri Kümesi'!B9+D15*'Veri Kümesi'!C9+E15&gt;=0,1,-1)</x:f>
        <x:v>1</x:v>
      </x:c>
      <x:c r="L15" t="n">
        <x:f>IF(H15='Veri Kümesi'!D6,0,1)+IF(I15='Veri Kümesi'!D7,0,1)+IF(J15='Veri Kümesi'!D8,0,1)+IF(K15='Veri Kümesi'!D9,0,1)</x:f>
        <x:v>0</x:v>
      </x:c>
      <x:c r="M15" t="str">
        <x:f>IF(L15=0,"Tüm örnekler doğru","Eğitim sürüyor")</x:f>
        <x:v>Tüm örnekler doğru</x:v>
      </x:c>
    </x:row>
    <x:row r="16">
      <x:c r="A16" t="n">
        <x:f>11</x:f>
        <x:v>11</x:v>
      </x:c>
      <x:c r="B16" t="n">
        <x:f>SUMIF('Eğitim Adımları'!$B$6:$B$85,A16,'Eğitim Adımları'!$L$6:$L$85)</x:f>
        <x:v>0</x:v>
      </x:c>
      <x:c r="C16" s="30" t="n">
        <x:f>'Eğitim Adımları'!M49</x:f>
        <x:v>0.2</x:v>
      </x:c>
      <x:c r="D16" s="30" t="n">
        <x:f>'Eğitim Adımları'!N49</x:f>
        <x:v>0.2</x:v>
      </x:c>
      <x:c r="E16" s="30" t="n">
        <x:f>'Eğitim Adımları'!O49</x:f>
        <x:v>-0.2</x:v>
      </x:c>
      <x:c r="F16" t="n">
        <x:f>4-L16</x:f>
        <x:v>4</x:v>
      </x:c>
      <x:c r="G16" s="32" t="n">
        <x:f>F16/4</x:f>
        <x:v>1</x:v>
      </x:c>
      <x:c r="H16" t="n">
        <x:f>IF(C16*'Veri Kümesi'!B6+D16*'Veri Kümesi'!C6+E16&gt;=0,1,-1)</x:f>
        <x:v>-1</x:v>
      </x:c>
      <x:c r="I16" t="n">
        <x:f>IF(C16*'Veri Kümesi'!B7+D16*'Veri Kümesi'!C7+E16&gt;=0,1,-1)</x:f>
        <x:v>-1</x:v>
      </x:c>
      <x:c r="J16" t="n">
        <x:f>IF(C16*'Veri Kümesi'!B8+D16*'Veri Kümesi'!C8+E16&gt;=0,1,-1)</x:f>
        <x:v>-1</x:v>
      </x:c>
      <x:c r="K16" t="n">
        <x:f>IF(C16*'Veri Kümesi'!B9+D16*'Veri Kümesi'!C9+E16&gt;=0,1,-1)</x:f>
        <x:v>1</x:v>
      </x:c>
      <x:c r="L16" t="n">
        <x:f>IF(H16='Veri Kümesi'!D6,0,1)+IF(I16='Veri Kümesi'!D7,0,1)+IF(J16='Veri Kümesi'!D8,0,1)+IF(K16='Veri Kümesi'!D9,0,1)</x:f>
        <x:v>0</x:v>
      </x:c>
      <x:c r="M16" t="str">
        <x:f>IF(L16=0,"Tüm örnekler doğru","Eğitim sürüyor")</x:f>
        <x:v>Tüm örnekler doğru</x:v>
      </x:c>
    </x:row>
    <x:row r="17">
      <x:c r="A17" t="n">
        <x:f>12</x:f>
        <x:v>12</x:v>
      </x:c>
      <x:c r="B17" t="n">
        <x:f>SUMIF('Eğitim Adımları'!$B$6:$B$85,A17,'Eğitim Adımları'!$L$6:$L$85)</x:f>
        <x:v>0</x:v>
      </x:c>
      <x:c r="C17" s="30" t="n">
        <x:f>'Eğitim Adımları'!M53</x:f>
        <x:v>0.2</x:v>
      </x:c>
      <x:c r="D17" s="30" t="n">
        <x:f>'Eğitim Adımları'!N53</x:f>
        <x:v>0.2</x:v>
      </x:c>
      <x:c r="E17" s="30" t="n">
        <x:f>'Eğitim Adımları'!O53</x:f>
        <x:v>-0.2</x:v>
      </x:c>
      <x:c r="F17" t="n">
        <x:f>4-L17</x:f>
        <x:v>4</x:v>
      </x:c>
      <x:c r="G17" s="32" t="n">
        <x:f>F17/4</x:f>
        <x:v>1</x:v>
      </x:c>
      <x:c r="H17" t="n">
        <x:f>IF(C17*'Veri Kümesi'!B6+D17*'Veri Kümesi'!C6+E17&gt;=0,1,-1)</x:f>
        <x:v>-1</x:v>
      </x:c>
      <x:c r="I17" t="n">
        <x:f>IF(C17*'Veri Kümesi'!B7+D17*'Veri Kümesi'!C7+E17&gt;=0,1,-1)</x:f>
        <x:v>-1</x:v>
      </x:c>
      <x:c r="J17" t="n">
        <x:f>IF(C17*'Veri Kümesi'!B8+D17*'Veri Kümesi'!C8+E17&gt;=0,1,-1)</x:f>
        <x:v>-1</x:v>
      </x:c>
      <x:c r="K17" t="n">
        <x:f>IF(C17*'Veri Kümesi'!B9+D17*'Veri Kümesi'!C9+E17&gt;=0,1,-1)</x:f>
        <x:v>1</x:v>
      </x:c>
      <x:c r="L17" t="n">
        <x:f>IF(H17='Veri Kümesi'!D6,0,1)+IF(I17='Veri Kümesi'!D7,0,1)+IF(J17='Veri Kümesi'!D8,0,1)+IF(K17='Veri Kümesi'!D9,0,1)</x:f>
        <x:v>0</x:v>
      </x:c>
      <x:c r="M17" t="str">
        <x:f>IF(L17=0,"Tüm örnekler doğru","Eğitim sürüyor")</x:f>
        <x:v>Tüm örnekler doğru</x:v>
      </x:c>
    </x:row>
    <x:row r="18">
      <x:c r="A18" t="n">
        <x:f>13</x:f>
        <x:v>13</x:v>
      </x:c>
      <x:c r="B18" t="n">
        <x:f>SUMIF('Eğitim Adımları'!$B$6:$B$85,A18,'Eğitim Adımları'!$L$6:$L$85)</x:f>
        <x:v>0</x:v>
      </x:c>
      <x:c r="C18" s="30" t="n">
        <x:f>'Eğitim Adımları'!M57</x:f>
        <x:v>0.2</x:v>
      </x:c>
      <x:c r="D18" s="30" t="n">
        <x:f>'Eğitim Adımları'!N57</x:f>
        <x:v>0.2</x:v>
      </x:c>
      <x:c r="E18" s="30" t="n">
        <x:f>'Eğitim Adımları'!O57</x:f>
        <x:v>-0.2</x:v>
      </x:c>
      <x:c r="F18" t="n">
        <x:f>4-L18</x:f>
        <x:v>4</x:v>
      </x:c>
      <x:c r="G18" s="32" t="n">
        <x:f>F18/4</x:f>
        <x:v>1</x:v>
      </x:c>
      <x:c r="H18" t="n">
        <x:f>IF(C18*'Veri Kümesi'!B6+D18*'Veri Kümesi'!C6+E18&gt;=0,1,-1)</x:f>
        <x:v>-1</x:v>
      </x:c>
      <x:c r="I18" t="n">
        <x:f>IF(C18*'Veri Kümesi'!B7+D18*'Veri Kümesi'!C7+E18&gt;=0,1,-1)</x:f>
        <x:v>-1</x:v>
      </x:c>
      <x:c r="J18" t="n">
        <x:f>IF(C18*'Veri Kümesi'!B8+D18*'Veri Kümesi'!C8+E18&gt;=0,1,-1)</x:f>
        <x:v>-1</x:v>
      </x:c>
      <x:c r="K18" t="n">
        <x:f>IF(C18*'Veri Kümesi'!B9+D18*'Veri Kümesi'!C9+E18&gt;=0,1,-1)</x:f>
        <x:v>1</x:v>
      </x:c>
      <x:c r="L18" t="n">
        <x:f>IF(H18='Veri Kümesi'!D6,0,1)+IF(I18='Veri Kümesi'!D7,0,1)+IF(J18='Veri Kümesi'!D8,0,1)+IF(K18='Veri Kümesi'!D9,0,1)</x:f>
        <x:v>0</x:v>
      </x:c>
      <x:c r="M18" t="str">
        <x:f>IF(L18=0,"Tüm örnekler doğru","Eğitim sürüyor")</x:f>
        <x:v>Tüm örnekler doğru</x:v>
      </x:c>
    </x:row>
    <x:row r="19">
      <x:c r="A19" t="n">
        <x:f>14</x:f>
        <x:v>14</x:v>
      </x:c>
      <x:c r="B19" t="n">
        <x:f>SUMIF('Eğitim Adımları'!$B$6:$B$85,A19,'Eğitim Adımları'!$L$6:$L$85)</x:f>
        <x:v>0</x:v>
      </x:c>
      <x:c r="C19" s="30" t="n">
        <x:f>'Eğitim Adımları'!M61</x:f>
        <x:v>0.2</x:v>
      </x:c>
      <x:c r="D19" s="30" t="n">
        <x:f>'Eğitim Adımları'!N61</x:f>
        <x:v>0.2</x:v>
      </x:c>
      <x:c r="E19" s="30" t="n">
        <x:f>'Eğitim Adımları'!O61</x:f>
        <x:v>-0.2</x:v>
      </x:c>
      <x:c r="F19" t="n">
        <x:f>4-L19</x:f>
        <x:v>4</x:v>
      </x:c>
      <x:c r="G19" s="32" t="n">
        <x:f>F19/4</x:f>
        <x:v>1</x:v>
      </x:c>
      <x:c r="H19" t="n">
        <x:f>IF(C19*'Veri Kümesi'!B6+D19*'Veri Kümesi'!C6+E19&gt;=0,1,-1)</x:f>
        <x:v>-1</x:v>
      </x:c>
      <x:c r="I19" t="n">
        <x:f>IF(C19*'Veri Kümesi'!B7+D19*'Veri Kümesi'!C7+E19&gt;=0,1,-1)</x:f>
        <x:v>-1</x:v>
      </x:c>
      <x:c r="J19" t="n">
        <x:f>IF(C19*'Veri Kümesi'!B8+D19*'Veri Kümesi'!C8+E19&gt;=0,1,-1)</x:f>
        <x:v>-1</x:v>
      </x:c>
      <x:c r="K19" t="n">
        <x:f>IF(C19*'Veri Kümesi'!B9+D19*'Veri Kümesi'!C9+E19&gt;=0,1,-1)</x:f>
        <x:v>1</x:v>
      </x:c>
      <x:c r="L19" t="n">
        <x:f>IF(H19='Veri Kümesi'!D6,0,1)+IF(I19='Veri Kümesi'!D7,0,1)+IF(J19='Veri Kümesi'!D8,0,1)+IF(K19='Veri Kümesi'!D9,0,1)</x:f>
        <x:v>0</x:v>
      </x:c>
      <x:c r="M19" t="str">
        <x:f>IF(L19=0,"Tüm örnekler doğru","Eğitim sürüyor")</x:f>
        <x:v>Tüm örnekler doğru</x:v>
      </x:c>
    </x:row>
    <x:row r="20">
      <x:c r="A20" t="n">
        <x:f>15</x:f>
        <x:v>15</x:v>
      </x:c>
      <x:c r="B20" t="n">
        <x:f>SUMIF('Eğitim Adımları'!$B$6:$B$85,A20,'Eğitim Adımları'!$L$6:$L$85)</x:f>
        <x:v>0</x:v>
      </x:c>
      <x:c r="C20" s="30" t="n">
        <x:f>'Eğitim Adımları'!M65</x:f>
        <x:v>0.2</x:v>
      </x:c>
      <x:c r="D20" s="30" t="n">
        <x:f>'Eğitim Adımları'!N65</x:f>
        <x:v>0.2</x:v>
      </x:c>
      <x:c r="E20" s="30" t="n">
        <x:f>'Eğitim Adımları'!O65</x:f>
        <x:v>-0.2</x:v>
      </x:c>
      <x:c r="F20" t="n">
        <x:f>4-L20</x:f>
        <x:v>4</x:v>
      </x:c>
      <x:c r="G20" s="32" t="n">
        <x:f>F20/4</x:f>
        <x:v>1</x:v>
      </x:c>
      <x:c r="H20" t="n">
        <x:f>IF(C20*'Veri Kümesi'!B6+D20*'Veri Kümesi'!C6+E20&gt;=0,1,-1)</x:f>
        <x:v>-1</x:v>
      </x:c>
      <x:c r="I20" t="n">
        <x:f>IF(C20*'Veri Kümesi'!B7+D20*'Veri Kümesi'!C7+E20&gt;=0,1,-1)</x:f>
        <x:v>-1</x:v>
      </x:c>
      <x:c r="J20" t="n">
        <x:f>IF(C20*'Veri Kümesi'!B8+D20*'Veri Kümesi'!C8+E20&gt;=0,1,-1)</x:f>
        <x:v>-1</x:v>
      </x:c>
      <x:c r="K20" t="n">
        <x:f>IF(C20*'Veri Kümesi'!B9+D20*'Veri Kümesi'!C9+E20&gt;=0,1,-1)</x:f>
        <x:v>1</x:v>
      </x:c>
      <x:c r="L20" t="n">
        <x:f>IF(H20='Veri Kümesi'!D6,0,1)+IF(I20='Veri Kümesi'!D7,0,1)+IF(J20='Veri Kümesi'!D8,0,1)+IF(K20='Veri Kümesi'!D9,0,1)</x:f>
        <x:v>0</x:v>
      </x:c>
      <x:c r="M20" t="str">
        <x:f>IF(L20=0,"Tüm örnekler doğru","Eğitim sürüyor")</x:f>
        <x:v>Tüm örnekler doğru</x:v>
      </x:c>
    </x:row>
    <x:row r="21">
      <x:c r="A21" t="n">
        <x:f>16</x:f>
        <x:v>16</x:v>
      </x:c>
      <x:c r="B21" t="n">
        <x:f>SUMIF('Eğitim Adımları'!$B$6:$B$85,A21,'Eğitim Adımları'!$L$6:$L$85)</x:f>
        <x:v>0</x:v>
      </x:c>
      <x:c r="C21" s="30" t="n">
        <x:f>'Eğitim Adımları'!M69</x:f>
        <x:v>0.2</x:v>
      </x:c>
      <x:c r="D21" s="30" t="n">
        <x:f>'Eğitim Adımları'!N69</x:f>
        <x:v>0.2</x:v>
      </x:c>
      <x:c r="E21" s="30" t="n">
        <x:f>'Eğitim Adımları'!O69</x:f>
        <x:v>-0.2</x:v>
      </x:c>
      <x:c r="F21" t="n">
        <x:f>4-L21</x:f>
        <x:v>4</x:v>
      </x:c>
      <x:c r="G21" s="32" t="n">
        <x:f>F21/4</x:f>
        <x:v>1</x:v>
      </x:c>
      <x:c r="H21" t="n">
        <x:f>IF(C21*'Veri Kümesi'!B6+D21*'Veri Kümesi'!C6+E21&gt;=0,1,-1)</x:f>
        <x:v>-1</x:v>
      </x:c>
      <x:c r="I21" t="n">
        <x:f>IF(C21*'Veri Kümesi'!B7+D21*'Veri Kümesi'!C7+E21&gt;=0,1,-1)</x:f>
        <x:v>-1</x:v>
      </x:c>
      <x:c r="J21" t="n">
        <x:f>IF(C21*'Veri Kümesi'!B8+D21*'Veri Kümesi'!C8+E21&gt;=0,1,-1)</x:f>
        <x:v>-1</x:v>
      </x:c>
      <x:c r="K21" t="n">
        <x:f>IF(C21*'Veri Kümesi'!B9+D21*'Veri Kümesi'!C9+E21&gt;=0,1,-1)</x:f>
        <x:v>1</x:v>
      </x:c>
      <x:c r="L21" t="n">
        <x:f>IF(H21='Veri Kümesi'!D6,0,1)+IF(I21='Veri Kümesi'!D7,0,1)+IF(J21='Veri Kümesi'!D8,0,1)+IF(K21='Veri Kümesi'!D9,0,1)</x:f>
        <x:v>0</x:v>
      </x:c>
      <x:c r="M21" t="str">
        <x:f>IF(L21=0,"Tüm örnekler doğru","Eğitim sürüyor")</x:f>
        <x:v>Tüm örnekler doğru</x:v>
      </x:c>
    </x:row>
    <x:row r="22">
      <x:c r="A22" t="n">
        <x:f>17</x:f>
        <x:v>17</x:v>
      </x:c>
      <x:c r="B22" t="n">
        <x:f>SUMIF('Eğitim Adımları'!$B$6:$B$85,A22,'Eğitim Adımları'!$L$6:$L$85)</x:f>
        <x:v>0</x:v>
      </x:c>
      <x:c r="C22" s="30" t="n">
        <x:f>'Eğitim Adımları'!M73</x:f>
        <x:v>0.2</x:v>
      </x:c>
      <x:c r="D22" s="30" t="n">
        <x:f>'Eğitim Adımları'!N73</x:f>
        <x:v>0.2</x:v>
      </x:c>
      <x:c r="E22" s="30" t="n">
        <x:f>'Eğitim Adımları'!O73</x:f>
        <x:v>-0.2</x:v>
      </x:c>
      <x:c r="F22" t="n">
        <x:f>4-L22</x:f>
        <x:v>4</x:v>
      </x:c>
      <x:c r="G22" s="32" t="n">
        <x:f>F22/4</x:f>
        <x:v>1</x:v>
      </x:c>
      <x:c r="H22" t="n">
        <x:f>IF(C22*'Veri Kümesi'!B6+D22*'Veri Kümesi'!C6+E22&gt;=0,1,-1)</x:f>
        <x:v>-1</x:v>
      </x:c>
      <x:c r="I22" t="n">
        <x:f>IF(C22*'Veri Kümesi'!B7+D22*'Veri Kümesi'!C7+E22&gt;=0,1,-1)</x:f>
        <x:v>-1</x:v>
      </x:c>
      <x:c r="J22" t="n">
        <x:f>IF(C22*'Veri Kümesi'!B8+D22*'Veri Kümesi'!C8+E22&gt;=0,1,-1)</x:f>
        <x:v>-1</x:v>
      </x:c>
      <x:c r="K22" t="n">
        <x:f>IF(C22*'Veri Kümesi'!B9+D22*'Veri Kümesi'!C9+E22&gt;=0,1,-1)</x:f>
        <x:v>1</x:v>
      </x:c>
      <x:c r="L22" t="n">
        <x:f>IF(H22='Veri Kümesi'!D6,0,1)+IF(I22='Veri Kümesi'!D7,0,1)+IF(J22='Veri Kümesi'!D8,0,1)+IF(K22='Veri Kümesi'!D9,0,1)</x:f>
        <x:v>0</x:v>
      </x:c>
      <x:c r="M22" t="str">
        <x:f>IF(L22=0,"Tüm örnekler doğru","Eğitim sürüyor")</x:f>
        <x:v>Tüm örnekler doğru</x:v>
      </x:c>
    </x:row>
    <x:row r="23">
      <x:c r="A23" t="n">
        <x:f>18</x:f>
        <x:v>18</x:v>
      </x:c>
      <x:c r="B23" t="n">
        <x:f>SUMIF('Eğitim Adımları'!$B$6:$B$85,A23,'Eğitim Adımları'!$L$6:$L$85)</x:f>
        <x:v>0</x:v>
      </x:c>
      <x:c r="C23" s="30" t="n">
        <x:f>'Eğitim Adımları'!M77</x:f>
        <x:v>0.2</x:v>
      </x:c>
      <x:c r="D23" s="30" t="n">
        <x:f>'Eğitim Adımları'!N77</x:f>
        <x:v>0.2</x:v>
      </x:c>
      <x:c r="E23" s="30" t="n">
        <x:f>'Eğitim Adımları'!O77</x:f>
        <x:v>-0.2</x:v>
      </x:c>
      <x:c r="F23" t="n">
        <x:f>4-L23</x:f>
        <x:v>4</x:v>
      </x:c>
      <x:c r="G23" s="32" t="n">
        <x:f>F23/4</x:f>
        <x:v>1</x:v>
      </x:c>
      <x:c r="H23" t="n">
        <x:f>IF(C23*'Veri Kümesi'!B6+D23*'Veri Kümesi'!C6+E23&gt;=0,1,-1)</x:f>
        <x:v>-1</x:v>
      </x:c>
      <x:c r="I23" t="n">
        <x:f>IF(C23*'Veri Kümesi'!B7+D23*'Veri Kümesi'!C7+E23&gt;=0,1,-1)</x:f>
        <x:v>-1</x:v>
      </x:c>
      <x:c r="J23" t="n">
        <x:f>IF(C23*'Veri Kümesi'!B8+D23*'Veri Kümesi'!C8+E23&gt;=0,1,-1)</x:f>
        <x:v>-1</x:v>
      </x:c>
      <x:c r="K23" t="n">
        <x:f>IF(C23*'Veri Kümesi'!B9+D23*'Veri Kümesi'!C9+E23&gt;=0,1,-1)</x:f>
        <x:v>1</x:v>
      </x:c>
      <x:c r="L23" t="n">
        <x:f>IF(H23='Veri Kümesi'!D6,0,1)+IF(I23='Veri Kümesi'!D7,0,1)+IF(J23='Veri Kümesi'!D8,0,1)+IF(K23='Veri Kümesi'!D9,0,1)</x:f>
        <x:v>0</x:v>
      </x:c>
      <x:c r="M23" t="str">
        <x:f>IF(L23=0,"Tüm örnekler doğru","Eğitim sürüyor")</x:f>
        <x:v>Tüm örnekler doğru</x:v>
      </x:c>
    </x:row>
    <x:row r="24">
      <x:c r="A24" t="n">
        <x:f>19</x:f>
        <x:v>19</x:v>
      </x:c>
      <x:c r="B24" t="n">
        <x:f>SUMIF('Eğitim Adımları'!$B$6:$B$85,A24,'Eğitim Adımları'!$L$6:$L$85)</x:f>
        <x:v>0</x:v>
      </x:c>
      <x:c r="C24" s="30" t="n">
        <x:f>'Eğitim Adımları'!M81</x:f>
        <x:v>0.2</x:v>
      </x:c>
      <x:c r="D24" s="30" t="n">
        <x:f>'Eğitim Adımları'!N81</x:f>
        <x:v>0.2</x:v>
      </x:c>
      <x:c r="E24" s="30" t="n">
        <x:f>'Eğitim Adımları'!O81</x:f>
        <x:v>-0.2</x:v>
      </x:c>
      <x:c r="F24" t="n">
        <x:f>4-L24</x:f>
        <x:v>4</x:v>
      </x:c>
      <x:c r="G24" s="32" t="n">
        <x:f>F24/4</x:f>
        <x:v>1</x:v>
      </x:c>
      <x:c r="H24" t="n">
        <x:f>IF(C24*'Veri Kümesi'!B6+D24*'Veri Kümesi'!C6+E24&gt;=0,1,-1)</x:f>
        <x:v>-1</x:v>
      </x:c>
      <x:c r="I24" t="n">
        <x:f>IF(C24*'Veri Kümesi'!B7+D24*'Veri Kümesi'!C7+E24&gt;=0,1,-1)</x:f>
        <x:v>-1</x:v>
      </x:c>
      <x:c r="J24" t="n">
        <x:f>IF(C24*'Veri Kümesi'!B8+D24*'Veri Kümesi'!C8+E24&gt;=0,1,-1)</x:f>
        <x:v>-1</x:v>
      </x:c>
      <x:c r="K24" t="n">
        <x:f>IF(C24*'Veri Kümesi'!B9+D24*'Veri Kümesi'!C9+E24&gt;=0,1,-1)</x:f>
        <x:v>1</x:v>
      </x:c>
      <x:c r="L24" t="n">
        <x:f>IF(H24='Veri Kümesi'!D6,0,1)+IF(I24='Veri Kümesi'!D7,0,1)+IF(J24='Veri Kümesi'!D8,0,1)+IF(K24='Veri Kümesi'!D9,0,1)</x:f>
        <x:v>0</x:v>
      </x:c>
      <x:c r="M24" t="str">
        <x:f>IF(L24=0,"Tüm örnekler doğru","Eğitim sürüyor")</x:f>
        <x:v>Tüm örnekler doğru</x:v>
      </x:c>
    </x:row>
    <x:row r="25">
      <x:c r="A25" t="n">
        <x:f>20</x:f>
        <x:v>20</x:v>
      </x:c>
      <x:c r="B25" t="n">
        <x:f>SUMIF('Eğitim Adımları'!$B$6:$B$85,A25,'Eğitim Adımları'!$L$6:$L$85)</x:f>
        <x:v>0</x:v>
      </x:c>
      <x:c r="C25" s="30" t="n">
        <x:f>'Eğitim Adımları'!M85</x:f>
        <x:v>0.2</x:v>
      </x:c>
      <x:c r="D25" s="30" t="n">
        <x:f>'Eğitim Adımları'!N85</x:f>
        <x:v>0.2</x:v>
      </x:c>
      <x:c r="E25" s="30" t="n">
        <x:f>'Eğitim Adımları'!O85</x:f>
        <x:v>-0.2</x:v>
      </x:c>
      <x:c r="F25" t="n">
        <x:f>4-L25</x:f>
        <x:v>4</x:v>
      </x:c>
      <x:c r="G25" s="32" t="n">
        <x:f>F25/4</x:f>
        <x:v>1</x:v>
      </x:c>
      <x:c r="H25" t="n">
        <x:f>IF(C25*'Veri Kümesi'!B6+D25*'Veri Kümesi'!C6+E25&gt;=0,1,-1)</x:f>
        <x:v>-1</x:v>
      </x:c>
      <x:c r="I25" t="n">
        <x:f>IF(C25*'Veri Kümesi'!B7+D25*'Veri Kümesi'!C7+E25&gt;=0,1,-1)</x:f>
        <x:v>-1</x:v>
      </x:c>
      <x:c r="J25" t="n">
        <x:f>IF(C25*'Veri Kümesi'!B8+D25*'Veri Kümesi'!C8+E25&gt;=0,1,-1)</x:f>
        <x:v>-1</x:v>
      </x:c>
      <x:c r="K25" t="n">
        <x:f>IF(C25*'Veri Kümesi'!B9+D25*'Veri Kümesi'!C9+E25&gt;=0,1,-1)</x:f>
        <x:v>1</x:v>
      </x:c>
      <x:c r="L25" t="n">
        <x:f>IF(H25='Veri Kümesi'!D6,0,1)+IF(I25='Veri Kümesi'!D7,0,1)+IF(J25='Veri Kümesi'!D8,0,1)+IF(K25='Veri Kümesi'!D9,0,1)</x:f>
        <x:v>0</x:v>
      </x:c>
      <x:c r="M25" t="str">
        <x:f>IF(L25=0,"Tüm örnekler doğru","Eğitim sürüyor")</x:f>
        <x:v>Tüm örnekler doğru</x:v>
      </x:c>
    </x:row>
  </x:sheetData>
  <x:mergeCells>
    <x:mergeCell ref="A1:M2"/>
    <x:mergeCell ref="A3:M3"/>
  </x:mergeCells>
  <x:conditionalFormatting sqref="G6:G2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{F5C4C5C8-805C-28A3-6E73-A96A3A28FC76}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5C4C5C8-805C-28A3-6E73-A96A3A28FC76}">
            <x14:dataBar gradient="1">
              <x14:cfvo type="min"/>
              <x14:cfvo type="max"/>
              <x14:fillColor rgb="FF0F766E"/>
            </x14:dataBar>
          </x14:cfRule>
          <xm:sqref>G6:G25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4" customHeight="1">
      <x:c r="A1" s="4" t="str">
        <x:v>ÖĞRENME GRAFİKLERİ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5" customHeight="1">
      <x:c r="A3" s="9" t="str">
        <x:v>Değişiklikler parametreleri güncellediğinizde grafiklere yansır.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>
      <x:c r="A5" s="13" t="str">
        <x:v>Ölçüm</x:v>
      </x:c>
      <x:c r="B5" s="13" t="str">
        <x:v>Açıklama</x:v>
      </x:c>
    </x:row>
    <x:row r="6">
      <x:c r="A6" t="str">
        <x:v>Eğitim hatası</x:v>
      </x:c>
      <x:c r="B6" t="str">
        <x:v>Her epoch sırasında gerçekleşen hatalı sınıflandırma sayısı.</x:v>
      </x:c>
    </x:row>
    <x:row r="7">
      <x:c r="A7" t="str">
        <x:v>Epoch sonu doğruluk</x:v>
      </x:c>
      <x:c r="B7" t="str">
        <x:v>Dört örnek üzerinde eğitim-sonrası sınıflandırma oranı.</x:v>
      </x:c>
    </x:row>
    <x:row r="8">
      <x:c r="A8" t="str">
        <x:v>w1 / w2</x:v>
      </x:c>
      <x:c r="B8" t="str">
        <x:v>Epoch sonunda öğrenilen ağırlıkların değişimi.</x:v>
      </x:c>
    </x:row>
    <x:row r="9">
      <x:c r="A9" t="str">
        <x:v>Bias</x:v>
      </x:c>
      <x:c r="B9" t="str">
        <x:v>Modelin karar sınırı kaymasını sağlayan sabit değer.</x:v>
      </x:c>
    </x:row>
    <x:row r="10">
      <x:c r="A10" t="str">
        <x:v>Başarı koşulu</x:v>
      </x:c>
      <x:c r="B10" t="str">
        <x:v>Yanlış sınıf sayısı 0 ise bütün örnekler doğru sınıflanır.</x:v>
      </x:c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75f05508e5014071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7" hidden="0" customWidth="1"/>
    <x:col min="3" max="3" width="68" hidden="0" customWidth="1"/>
    <x:col min="4" max="4" width="76" hidden="0" customWidth="1"/>
    <x:col min="5" max="5" width="12" hidden="0" customWidth="1"/>
    <x:col min="6" max="6" width="12" hidden="0" customWidth="1"/>
  </x:cols>
  <x:sheetData>
    <x:row r="1" ht="24" customHeight="1">
      <x:c r="A1" s="4" t="str">
        <x:v>PERCEPTRON | MATEMATİK VE EXCEL FORMÜLLERİ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5" customHeight="1">
      <x:c r="A3" s="9" t="str">
        <x:v>Her denklem için kullanım amacı ve ilgili Excel formülü</x:v>
      </x:c>
      <x:c r="B3" s="9"/>
      <x:c r="C3" s="9"/>
      <x:c r="D3" s="9"/>
      <x:c r="E3" s="9"/>
      <x:c r="F3" s="9"/>
    </x:row>
    <x:row r="5" ht="30" customHeight="1">
      <x:c r="A5" s="15" t="str">
        <x:v>Kavram</x:v>
      </x:c>
      <x:c r="B5" s="15" t="str">
        <x:v>Matematiksel ifade</x:v>
      </x:c>
      <x:c r="C5" s="15" t="str">
        <x:v>Excel örneği</x:v>
      </x:c>
      <x:c r="D5" s="15" t="str">
        <x:v>Açıklama</x:v>
      </x:c>
    </x:row>
    <x:row r="6" ht="44" customHeight="1">
      <x:c r="A6" t="str">
        <x:v>Net toplam</x:v>
      </x:c>
      <x:c r="B6" t="str">
        <x:v>net = w1·x1 + w2·x2 + b</x:v>
      </x:c>
      <x:c r="C6" s="34" t="str">
        <x:v>='Eğitim Adımları'!G6*'Eğitim Adımları'!D6+'Eğitim Adımları'!H6*'Eğitim Adımları'!E6+'Eğitim Adımları'!I6</x:v>
      </x:c>
      <x:c r="D6" s="34" t="str">
        <x:v>Ağırlıklı giriş toplamı.</x:v>
      </x:c>
    </x:row>
    <x:row r="7" ht="44" customHeight="1">
      <x:c r="A7" t="str">
        <x:v>Eşikleme</x:v>
      </x:c>
      <x:c r="B7" t="str">
        <x:v>ŷ=+1 (net≥0), aksi halde −1</x:v>
      </x:c>
      <x:c r="C7" s="34" t="str">
        <x:v>=IF('Eğitim Adımları'!J6&gt;=0,1,-1)</x:v>
      </x:c>
      <x:c r="D7" s="34" t="str">
        <x:v>Net değeri bipolar sınıf etiketine çevirir.</x:v>
      </x:c>
    </x:row>
    <x:row r="8" ht="44" customHeight="1">
      <x:c r="A8" t="str">
        <x:v>Hata göstergesi</x:v>
      </x:c>
      <x:c r="B8" t="str">
        <x:v>I = 1 (ŷ ≠ t); 0 (ŷ = t)</x:v>
      </x:c>
      <x:c r="C8" s="34" t="str">
        <x:v>=IF('Eğitim Adımları'!K6='Eğitim Adımları'!F6,0,1)</x:v>
      </x:c>
      <x:c r="D8" s="34" t="str">
        <x:v>Güncellemenin yapılıp yapılmayacağını belirler.</x:v>
      </x:c>
    </x:row>
    <x:row r="9" ht="44" customHeight="1">
      <x:c r="A9" t="str">
        <x:v>w1 güncelleme</x:v>
      </x:c>
      <x:c r="B9" t="str">
        <x:v>w1(yeni) = w1 + η·t·x1·I</x:v>
      </x:c>
      <x:c r="C9" s="34" t="str">
        <x:v>='Eğitim Adımları'!G6+'Parametreler'!$B$6*'Eğitim Adımları'!F6*'Eğitim Adımları'!D6*'Eğitim Adımları'!L6</x:v>
      </x:c>
      <x:c r="D9" s="34" t="str">
        <x:v>Hatalı sınıflamada birinci ağırlık güncellenir.</x:v>
      </x:c>
    </x:row>
    <x:row r="10" ht="44" customHeight="1">
      <x:c r="A10" t="str">
        <x:v>w2 güncelleme</x:v>
      </x:c>
      <x:c r="B10" t="str">
        <x:v>w2(yeni) = w2 + η·t·x2·I</x:v>
      </x:c>
      <x:c r="C10" s="34" t="str">
        <x:v>='Eğitim Adımları'!H6+'Parametreler'!$B$6*'Eğitim Adımları'!F6*'Eğitim Adımları'!E6*'Eğitim Adımları'!L6</x:v>
      </x:c>
      <x:c r="D10" s="34" t="str">
        <x:v>Hatalı sınıflamada ikinci ağırlık güncellenir.</x:v>
      </x:c>
    </x:row>
    <x:row r="11" ht="44" customHeight="1">
      <x:c r="A11" t="str">
        <x:v>Bias güncelleme</x:v>
      </x:c>
      <x:c r="B11" t="str">
        <x:v>b(yeni) = b + η·t·I</x:v>
      </x:c>
      <x:c r="C11" s="34" t="str">
        <x:v>='Eğitim Adımları'!I6+'Parametreler'!$B$6*'Eğitim Adımları'!F6*'Eğitim Adımları'!L6</x:v>
      </x:c>
      <x:c r="D11" s="34" t="str">
        <x:v>Hatalı sınıflamada bias güncellenir.</x:v>
      </x:c>
    </x:row>
    <x:row r="12" ht="44" customHeight="1">
      <x:c r="A12" t="str">
        <x:v>Epoch numarası</x:v>
      </x:c>
      <x:c r="B12" t="str">
        <x:v>epoch = ⌊(adım−1)/4⌋+1</x:v>
      </x:c>
      <x:c r="C12" s="34" t="str">
        <x:v>=INT(('Eğitim Adımları'!A6-1)/'Parametreler'!$B$11)+1</x:v>
      </x:c>
      <x:c r="D12" s="34" t="str">
        <x:v>Dört örneğin bir epoch oluşturduğunu gösterir.</x:v>
      </x:c>
    </x:row>
    <x:row r="13" ht="44" customHeight="1">
      <x:c r="A13" t="str">
        <x:v>Örnek numarası</x:v>
      </x:c>
      <x:c r="B13" t="str">
        <x:v>örnek = ((adım−1) mod 4)+1</x:v>
      </x:c>
      <x:c r="C13" s="34" t="str">
        <x:v>=MOD('Eğitim Adımları'!A6-1,'Parametreler'!$B$11)+1</x:v>
      </x:c>
      <x:c r="D13" s="34" t="str">
        <x:v>Örneklerin sırayla tekrar edilmesini sağlar.</x:v>
      </x:c>
    </x:row>
    <x:row r="14" ht="44" customHeight="1">
      <x:c r="A14" t="str">
        <x:v>Giriş okuma</x:v>
      </x:c>
      <x:c r="B14" t="str">
        <x:v>x1 = veri[örnek]</x:v>
      </x:c>
      <x:c r="C14" s="34" t="str">
        <x:v>=INDEX('Veri Kümesi'!$B$6:$B$9,'Eğitim Adımları'!C6)</x:v>
      </x:c>
      <x:c r="D14" s="34" t="str">
        <x:v>Veri kümesinden birinci girişi alır.</x:v>
      </x:c>
    </x:row>
    <x:row r="15" ht="44" customHeight="1">
      <x:c r="A15" t="str">
        <x:v>Epoch hata sayısı</x:v>
      </x:c>
      <x:c r="B15" t="str">
        <x:v>∑ I (o epoch'ta)</x:v>
      </x:c>
      <x:c r="C15" s="34" t="str">
        <x:v>=SUMIF('Eğitim Adımları'!$B$6:$B$85,'Epoch Analizi'!A6,'Eğitim Adımları'!$L$6:$L$85)</x:v>
      </x:c>
      <x:c r="D15" s="34" t="str">
        <x:v>Hatalı eğitim adımlarını sayar.</x:v>
      </x:c>
    </x:row>
    <x:row r="16" ht="44" customHeight="1">
      <x:c r="A16" t="str">
        <x:v>Doğruluk</x:v>
      </x:c>
      <x:c r="B16" t="str">
        <x:v>doğru sınıflar / 4</x:v>
      </x:c>
      <x:c r="C16" s="34" t="str">
        <x:v>='Epoch Analizi'!F6/4</x:v>
      </x:c>
      <x:c r="D16" s="34" t="str">
        <x:v>Epoch sonu modelinin bütün örneklerdeki doğruluğu.</x:v>
      </x:c>
    </x:row>
    <x:row r="17" ht="44" customHeight="1">
      <x:c r="A17" t="str">
        <x:v>Karar sınırı</x:v>
      </x:c>
      <x:c r="B17" t="str">
        <x:v>w1·x1 + w2·x2 + b = 0</x:v>
      </x:c>
      <x:c r="C17" s="34" t="str">
        <x:v>—</x:v>
      </x:c>
      <x:c r="D17" s="34" t="str">
        <x:v>İki boyutta karar sınırı doğrudur.</x:v>
      </x:c>
    </x:row>
    <x:row r="18" ht="44" customHeight="1">
      <x:c r="A18" t="str">
        <x:v>Perceptron kaybı</x:v>
      </x:c>
      <x:c r="B18" t="str">
        <x:v>L = max(0, −t·net)</x:v>
      </x:c>
      <x:c r="C18" s="34" t="str">
        <x:v>—</x:v>
      </x:c>
      <x:c r="D18" s="34" t="str">
        <x:v>Yanlış sınıflanan veya negatif marjlı örnekleri cezalandıran bir kayıp tanımı; simülatör doğrudan hata göstergesi kullanır.</x:v>
      </x:c>
    </x:row>
    <x:row r="19" ht="44" customHeight="1">
      <x:c r="A19" t="str">
        <x:v>AND hedefi</x:v>
      </x:c>
      <x:c r="B19" t="str">
        <x:v>t=+1 yalnız x1=x2=+1 iken</x:v>
      </x:c>
      <x:c r="C19" s="34" t="str">
        <x:v>='Veri Kümesi'!D9</x:v>
      </x:c>
      <x:c r="D19" s="34" t="str">
        <x:v>Bipolar mantıksal AND.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100" hidden="0" customWidth="1"/>
    <x:col min="4" max="4" width="35" hidden="0" customWidth="1"/>
    <x:col min="5" max="5" width="12" hidden="0" customWidth="1"/>
  </x:cols>
  <x:sheetData>
    <x:row r="1" ht="24" customHeight="1">
      <x:c r="A1" s="4" t="str">
        <x:v>PERCEPTRON | TEKNİK TERİMLER SÖZLÜĞÜ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5" customHeight="1">
      <x:c r="A3" s="9" t="str">
        <x:v>Tanımlar, algoritmanın matematiksel ve pratik kullanımına göre düzenlenmiştir.</x:v>
      </x:c>
      <x:c r="B3" s="9"/>
      <x:c r="C3" s="9"/>
      <x:c r="D3" s="9"/>
      <x:c r="E3" s="9"/>
    </x:row>
    <x:row r="5" ht="30" customHeight="1">
      <x:c r="A5" s="15" t="str">
        <x:v>No</x:v>
      </x:c>
      <x:c r="B5" s="15" t="str">
        <x:v>Terim / English</x:v>
      </x:c>
      <x:c r="C5" s="15" t="str">
        <x:v>Türkçe açıklama</x:v>
      </x:c>
      <x:c r="D5" s="15" t="str">
        <x:v>Uygulamadaki karşılığı</x:v>
      </x:c>
    </x:row>
    <x:row r="6" ht="36" customHeight="1">
      <x:c r="A6" t="n">
        <x:v>1</x:v>
      </x:c>
      <x:c r="B6" s="34" t="str">
        <x:v>Perceptron</x:v>
      </x:c>
      <x:c r="C6" s="34" t="str">
        <x:v>Denetimli öğrenme ile doğrusal sınıflandırma yapan temel yapay nöron modeli.</x:v>
      </x:c>
      <x:c r="D6" s="34" t="str">
        <x:v>Tüm simülatör</x:v>
      </x:c>
    </x:row>
    <x:row r="7" ht="36" customHeight="1">
      <x:c r="A7" t="n">
        <x:v>2</x:v>
      </x:c>
      <x:c r="B7" s="34" t="str">
        <x:v>Frank Rosenblatt</x:v>
      </x:c>
      <x:c r="C7" s="34" t="str">
        <x:v>Perceptron modelini 1950'lerde geliştiren araştırmacı.</x:v>
      </x:c>
      <x:c r="D7" s="34" t="str">
        <x:v>Tarihsel köken</x:v>
      </x:c>
    </x:row>
    <x:row r="8" ht="36" customHeight="1">
      <x:c r="A8" t="n">
        <x:v>3</x:v>
      </x:c>
      <x:c r="B8" s="34" t="str">
        <x:v>Yapay sinir ağı / ANN</x:v>
      </x:c>
      <x:c r="C8" s="34" t="str">
        <x:v>Birbirine bağlı hesaplama birimleri ile örüntü öğrenen model ailesi.</x:v>
      </x:c>
      <x:c r="D8" s="34" t="str">
        <x:v>Genel bağlam</x:v>
      </x:c>
    </x:row>
    <x:row r="9" ht="36" customHeight="1">
      <x:c r="A9" t="n">
        <x:v>4</x:v>
      </x:c>
      <x:c r="B9" s="34" t="str">
        <x:v>Nöron / Neuron</x:v>
      </x:c>
      <x:c r="C9" s="34" t="str">
        <x:v>Girişlerin ağırlıklı toplamını hesaplayıp çıktı üreten işlem birimi.</x:v>
      </x:c>
      <x:c r="D9" s="34" t="str">
        <x:v>Model</x:v>
      </x:c>
    </x:row>
    <x:row r="10" ht="36" customHeight="1">
      <x:c r="A10" t="n">
        <x:v>5</x:v>
      </x:c>
      <x:c r="B10" s="34" t="str">
        <x:v>Denetimli öğrenme / Supervised learning</x:v>
      </x:c>
      <x:c r="C10" s="34" t="str">
        <x:v>Hedef etiketleri bilinen örneklerle model eğitimi.</x:v>
      </x:c>
      <x:c r="D10" s="34" t="str">
        <x:v>Veri Kümesi</x:v>
      </x:c>
    </x:row>
    <x:row r="11" ht="36" customHeight="1">
      <x:c r="A11" t="n">
        <x:v>6</x:v>
      </x:c>
      <x:c r="B11" s="34" t="str">
        <x:v>Sınıflandırma / Classification</x:v>
      </x:c>
      <x:c r="C11" s="34" t="str">
        <x:v>Bir örneğe sınıf etiketi atama işlemi.</x:v>
      </x:c>
      <x:c r="D11" s="34" t="str">
        <x:v>Tahmin ŷ</x:v>
      </x:c>
    </x:row>
    <x:row r="12" ht="36" customHeight="1">
      <x:c r="A12" t="n">
        <x:v>7</x:v>
      </x:c>
      <x:c r="B12" s="34" t="str">
        <x:v>İkili sınıflandırma / Binary classification</x:v>
      </x:c>
      <x:c r="C12" s="34" t="str">
        <x:v>İki ayrı sınıf arasında karar verme.</x:v>
      </x:c>
      <x:c r="D12" s="34" t="str">
        <x:v>−1 / +1</x:v>
      </x:c>
    </x:row>
    <x:row r="13" ht="36" customHeight="1">
      <x:c r="A13" t="n">
        <x:v>8</x:v>
      </x:c>
      <x:c r="B13" s="34" t="str">
        <x:v>Bipolar kodlama / Bipolar encoding</x:v>
      </x:c>
      <x:c r="C13" s="34" t="str">
        <x:v>İki sınıfın −1 ve +1 olarak kodlanması.</x:v>
      </x:c>
      <x:c r="D13" s="34" t="str">
        <x:v>Girişler ve hedef</x:v>
      </x:c>
    </x:row>
    <x:row r="14" ht="36" customHeight="1">
      <x:c r="A14" t="n">
        <x:v>9</x:v>
      </x:c>
      <x:c r="B14" s="34" t="str">
        <x:v>Giriş / Input</x:v>
      </x:c>
      <x:c r="C14" s="34" t="str">
        <x:v>Modelin kullandığı özellik değeri.</x:v>
      </x:c>
      <x:c r="D14" s="34" t="str">
        <x:v>x1, x2</x:v>
      </x:c>
    </x:row>
    <x:row r="15" ht="36" customHeight="1">
      <x:c r="A15" t="n">
        <x:v>10</x:v>
      </x:c>
      <x:c r="B15" s="34" t="str">
        <x:v>Özellik / Feature</x:v>
      </x:c>
      <x:c r="C15" s="34" t="str">
        <x:v>Modelin sınıf kararında kullandığı değişken.</x:v>
      </x:c>
      <x:c r="D15" s="34" t="str">
        <x:v>x1, x2</x:v>
      </x:c>
    </x:row>
    <x:row r="16" ht="36" customHeight="1">
      <x:c r="A16" t="n">
        <x:v>11</x:v>
      </x:c>
      <x:c r="B16" s="34" t="str">
        <x:v>Hedef / Target</x:v>
      </x:c>
      <x:c r="C16" s="34" t="str">
        <x:v>Eğitim örneği için doğru olduğu bilinen sınıf.</x:v>
      </x:c>
      <x:c r="D16" s="34" t="str">
        <x:v>t</x:v>
      </x:c>
    </x:row>
    <x:row r="17" ht="36" customHeight="1">
      <x:c r="A17" t="n">
        <x:v>12</x:v>
      </x:c>
      <x:c r="B17" s="34" t="str">
        <x:v>Tahmin / Prediction</x:v>
      </x:c>
      <x:c r="C17" s="34" t="str">
        <x:v>Modelin verdiği sınıf kararı.</x:v>
      </x:c>
      <x:c r="D17" s="34" t="str">
        <x:v>ŷ</x:v>
      </x:c>
    </x:row>
    <x:row r="18" ht="36" customHeight="1">
      <x:c r="A18" t="n">
        <x:v>13</x:v>
      </x:c>
      <x:c r="B18" s="34" t="str">
        <x:v>Ağırlık / Weight</x:v>
      </x:c>
      <x:c r="C18" s="34" t="str">
        <x:v>Her girişin net toplam üzerindeki katsayısı.</x:v>
      </x:c>
      <x:c r="D18" s="34" t="str">
        <x:v>w1, w2</x:v>
      </x:c>
    </x:row>
    <x:row r="19" ht="36" customHeight="1">
      <x:c r="A19" t="n">
        <x:v>14</x:v>
      </x:c>
      <x:c r="B19" s="34" t="str">
        <x:v>Bias / Sapma</x:v>
      </x:c>
      <x:c r="C19" s="34" t="str">
        <x:v>Ağırlıklı toplama eklenen öğrenilebilir sabit.</x:v>
      </x:c>
      <x:c r="D19" s="34" t="str">
        <x:v>b</x:v>
      </x:c>
    </x:row>
    <x:row r="20" ht="36" customHeight="1">
      <x:c r="A20" t="n">
        <x:v>15</x:v>
      </x:c>
      <x:c r="B20" s="34" t="str">
        <x:v>Net girdi / Net input</x:v>
      </x:c>
      <x:c r="C20" s="34" t="str">
        <x:v>Girişlerin ağırlıklı toplamı artı bias.</x:v>
      </x:c>
      <x:c r="D20" s="34" t="str">
        <x:v>net</x:v>
      </x:c>
    </x:row>
    <x:row r="21" ht="36" customHeight="1">
      <x:c r="A21" t="n">
        <x:v>16</x:v>
      </x:c>
      <x:c r="B21" s="34" t="str">
        <x:v>Eşik fonksiyonu / Step function</x:v>
      </x:c>
      <x:c r="C21" s="34" t="str">
        <x:v>Net değeri önceden tanımlanan sınıflardan birine dönüştürür.</x:v>
      </x:c>
      <x:c r="D21" s="34" t="str">
        <x:v>IF(net&gt;=0,1,-1)</x:v>
      </x:c>
    </x:row>
    <x:row r="22" ht="36" customHeight="1">
      <x:c r="A22" t="n">
        <x:v>17</x:v>
      </x:c>
      <x:c r="B22" s="34" t="str">
        <x:v>Eşik / Threshold</x:v>
      </x:c>
      <x:c r="C22" s="34" t="str">
        <x:v>Sınıflandırma kararının değiştiği sınır değer.</x:v>
      </x:c>
      <x:c r="D22" s="34" t="str">
        <x:v>0</x:v>
      </x:c>
    </x:row>
    <x:row r="23" ht="36" customHeight="1">
      <x:c r="A23" t="n">
        <x:v>18</x:v>
      </x:c>
      <x:c r="B23" s="34" t="str">
        <x:v>Öğrenme oranı / Learning rate</x:v>
      </x:c>
      <x:c r="C23" s="34" t="str">
        <x:v>Her hatalı örnekte parametre güncellemesinin büyüklüğü.</x:v>
      </x:c>
      <x:c r="D23" s="34" t="str">
        <x:v>η</x:v>
      </x:c>
    </x:row>
    <x:row r="24" ht="36" customHeight="1">
      <x:c r="A24" t="n">
        <x:v>19</x:v>
      </x:c>
      <x:c r="B24" s="34" t="str">
        <x:v>Öğrenme kuralı / Perceptron rule</x:v>
      </x:c>
      <x:c r="C24" s="34" t="str">
        <x:v>Yanlış sınıflamada ağırlıkları hedef sınıf yönünde değiştiren kural.</x:v>
      </x:c>
      <x:c r="D24" s="34" t="str">
        <x:v>η·t·x</x:v>
      </x:c>
    </x:row>
    <x:row r="25" ht="36" customHeight="1">
      <x:c r="A25" t="n">
        <x:v>20</x:v>
      </x:c>
      <x:c r="B25" s="34" t="str">
        <x:v>Hata göstergesi / Error indicator</x:v>
      </x:c>
      <x:c r="C25" s="34" t="str">
        <x:v>Tahmin yanlış ise 1, doğru ise 0 değeri.</x:v>
      </x:c>
      <x:c r="D25" s="34" t="str">
        <x:v>Hata?</x:v>
      </x:c>
    </x:row>
    <x:row r="26" ht="36" customHeight="1">
      <x:c r="A26" t="n">
        <x:v>21</x:v>
      </x:c>
      <x:c r="B26" s="34" t="str">
        <x:v>Güncelleme / Update</x:v>
      </x:c>
      <x:c r="C26" s="34" t="str">
        <x:v>Ağırlık ve bias değerlerini değiştirme işlemi.</x:v>
      </x:c>
      <x:c r="D26" s="34" t="str">
        <x:v>w1 sonra, w2 sonra, b sonra</x:v>
      </x:c>
    </x:row>
    <x:row r="27" ht="36" customHeight="1">
      <x:c r="A27" t="n">
        <x:v>22</x:v>
      </x:c>
      <x:c r="B27" s="34" t="str">
        <x:v>Epoch</x:v>
      </x:c>
      <x:c r="C27" s="34" t="str">
        <x:v>Tüm eğitim örneklerinin bir kez sırasıyla işlenmesi.</x:v>
      </x:c>
      <x:c r="D27" s="34" t="str">
        <x:v>4 adım</x:v>
      </x:c>
    </x:row>
    <x:row r="28" ht="36" customHeight="1">
      <x:c r="A28" t="n">
        <x:v>23</x:v>
      </x:c>
      <x:c r="B28" s="34" t="str">
        <x:v>İterasyon / Iteration</x:v>
      </x:c>
      <x:c r="C28" s="34" t="str">
        <x:v>Bir örneğin işlendiği eğitim adımı.</x:v>
      </x:c>
      <x:c r="D28" s="34" t="str">
        <x:v>Adım</x:v>
      </x:c>
    </x:row>
    <x:row r="29" ht="36" customHeight="1">
      <x:c r="A29" t="n">
        <x:v>24</x:v>
      </x:c>
      <x:c r="B29" s="34" t="str">
        <x:v>Çevrim içi öğrenme / Online learning</x:v>
      </x:c>
      <x:c r="C29" s="34" t="str">
        <x:v>Modeli her örnekten hemen sonra güncelleme.</x:v>
      </x:c>
      <x:c r="D29" s="34" t="str">
        <x:v>Eğitim Adımları</x:v>
      </x:c>
    </x:row>
    <x:row r="30" ht="36" customHeight="1">
      <x:c r="A30" t="n">
        <x:v>25</x:v>
      </x:c>
      <x:c r="B30" s="34" t="str">
        <x:v>Eğitim kümesi / Training set</x:v>
      </x:c>
      <x:c r="C30" s="34" t="str">
        <x:v>Parametreleri öğrenmek için kullanılan örnekler.</x:v>
      </x:c>
      <x:c r="D30" s="34" t="str">
        <x:v>4 AND örneği</x:v>
      </x:c>
    </x:row>
    <x:row r="31" ht="36" customHeight="1">
      <x:c r="A31" t="n">
        <x:v>26</x:v>
      </x:c>
      <x:c r="B31" s="34" t="str">
        <x:v>Bipolar AND</x:v>
      </x:c>
      <x:c r="C31" s="34" t="str">
        <x:v>Yalnız iki giriş de +1 ise hedefi +1 olan mantık problemi.</x:v>
      </x:c>
      <x:c r="D31" s="34" t="str">
        <x:v>Veri Kümesi</x:v>
      </x:c>
    </x:row>
    <x:row r="32" ht="36" customHeight="1">
      <x:c r="A32" t="n">
        <x:v>27</x:v>
      </x:c>
      <x:c r="B32" s="34" t="str">
        <x:v>Doğrusal sınıflandırıcı / Linear classifier</x:v>
      </x:c>
      <x:c r="C32" s="34" t="str">
        <x:v>Sınıf kararını ağırlıklı doğrusal ifadeden üreten model.</x:v>
      </x:c>
      <x:c r="D32" s="34" t="str">
        <x:v>Perceptron</x:v>
      </x:c>
    </x:row>
    <x:row r="33" ht="36" customHeight="1">
      <x:c r="A33" t="n">
        <x:v>28</x:v>
      </x:c>
      <x:c r="B33" s="34" t="str">
        <x:v>Doğrusal ayrılabilirlik / Linear separability</x:v>
      </x:c>
      <x:c r="C33" s="34" t="str">
        <x:v>Sınıfların bir doğru/hiperdüzlemle ayrılabilmesi.</x:v>
      </x:c>
      <x:c r="D33" s="34" t="str">
        <x:v>AND ayrılabilir</x:v>
      </x:c>
    </x:row>
    <x:row r="34" ht="36" customHeight="1">
      <x:c r="A34" t="n">
        <x:v>29</x:v>
      </x:c>
      <x:c r="B34" s="34" t="str">
        <x:v>Karar sınırı / Decision boundary</x:v>
      </x:c>
      <x:c r="C34" s="34" t="str">
        <x:v>Net toplamın sıfır olduğu noktaların kümesi.</x:v>
      </x:c>
      <x:c r="D34" s="34" t="str">
        <x:v>w1x1+w2x2+b=0</x:v>
      </x:c>
    </x:row>
    <x:row r="35" ht="36" customHeight="1">
      <x:c r="A35" t="n">
        <x:v>30</x:v>
      </x:c>
      <x:c r="B35" s="34" t="str">
        <x:v>Hiperdüzlem / Hyperplane</x:v>
      </x:c>
      <x:c r="C35" s="34" t="str">
        <x:v>Çok boyutlu uzayda doğrusal karar sınırı.</x:v>
      </x:c>
      <x:c r="D35" s="34" t="str">
        <x:v>Genel karar sınırı</x:v>
      </x:c>
    </x:row>
    <x:row r="36" ht="36" customHeight="1">
      <x:c r="A36" t="n">
        <x:v>31</x:v>
      </x:c>
      <x:c r="B36" s="34" t="str">
        <x:v>Yakınsama / Convergence</x:v>
      </x:c>
      <x:c r="C36" s="34" t="str">
        <x:v>Uygun koşullarda ağırlık güncellemelerinin durması / doğru sınıflandırmaya ulaşma.</x:v>
      </x:c>
      <x:c r="D36" s="34" t="str">
        <x:v>Hata sayısı 0</x:v>
      </x:c>
    </x:row>
    <x:row r="37" ht="36" customHeight="1">
      <x:c r="A37" t="n">
        <x:v>32</x:v>
      </x:c>
      <x:c r="B37" s="34" t="str">
        <x:v>Perceptron yakınsama teoremi</x:v>
      </x:c>
      <x:c r="C37" s="34" t="str">
        <x:v>Sonlu, doğrusal ayrılabilir veride uygun sabit öğrenme oranıyla sonlu hata güncellemesi olacağını belirtir.</x:v>
      </x:c>
      <x:c r="D37" s="34" t="str">
        <x:v>Teorik temel</x:v>
      </x:c>
    </x:row>
    <x:row r="38" ht="36" customHeight="1">
      <x:c r="A38" t="n">
        <x:v>33</x:v>
      </x:c>
      <x:c r="B38" s="34" t="str">
        <x:v>Doğruluk / Accuracy</x:v>
      </x:c>
      <x:c r="C38" s="34" t="str">
        <x:v>Doğru sınıflandırılan örnek oranı.</x:v>
      </x:c>
      <x:c r="D38" s="34" t="str">
        <x:v>Epoch Analizi</x:v>
      </x:c>
    </x:row>
    <x:row r="39" ht="36" customHeight="1">
      <x:c r="A39" t="n">
        <x:v>34</x:v>
      </x:c>
      <x:c r="B39" s="34" t="str">
        <x:v>Yanlış sınıflandırma / Misclassification</x:v>
      </x:c>
      <x:c r="C39" s="34" t="str">
        <x:v>Tahmin edilen sınıfın hedef sınıftan farklı olması.</x:v>
      </x:c>
      <x:c r="D39" s="34" t="str">
        <x:v>Hata? = 1</x:v>
      </x:c>
    </x:row>
    <x:row r="40" ht="36" customHeight="1">
      <x:c r="A40" t="n">
        <x:v>35</x:v>
      </x:c>
      <x:c r="B40" s="34" t="str">
        <x:v>Karışıklık matrisi / Confusion matrix</x:v>
      </x:c>
      <x:c r="C40" s="34" t="str">
        <x:v>Doğru ve yanlış sınıfları sınıf bazında sayan değerlendirme tablosu.</x:v>
      </x:c>
      <x:c r="D40" s="34" t="str">
        <x:v>Genişletme fikri</x:v>
      </x:c>
    </x:row>
    <x:row r="41" ht="36" customHeight="1">
      <x:c r="A41" t="n">
        <x:v>36</x:v>
      </x:c>
      <x:c r="B41" s="34" t="str">
        <x:v>Perceptron kaybı / Perceptron loss</x:v>
      </x:c>
      <x:c r="C41" s="34" t="str">
        <x:v>Marj durumuna göre yanlış yönlü kararları cezalandıran kayıp fonksiyonu.</x:v>
      </x:c>
      <x:c r="D41" s="34" t="str">
        <x:v>Teorik bağlam</x:v>
      </x:c>
    </x:row>
    <x:row r="42" ht="36" customHeight="1">
      <x:c r="A42" t="n">
        <x:v>37</x:v>
      </x:c>
      <x:c r="B42" s="34" t="str">
        <x:v>MSE / Mean Squared Error</x:v>
      </x:c>
      <x:c r="C42" s="34" t="str">
        <x:v>Ortalama karesel hata; ADALINE'da kullanılır, bu Perceptron eğitiminde kullanılmaz.</x:v>
      </x:c>
      <x:c r="D42" s="34" t="str">
        <x:v>ADALINE karşılaştırması</x:v>
      </x:c>
    </x:row>
    <x:row r="43" ht="36" customHeight="1">
      <x:c r="A43" t="n">
        <x:v>38</x:v>
      </x:c>
      <x:c r="B43" s="34" t="str">
        <x:v>Widrow–Hoff / LMS</x:v>
      </x:c>
      <x:c r="C43" s="34" t="str">
        <x:v>Doğrusal çıktı hatasını kullanarak parametre güncelleyen ADALINE öğrenme kuralı.</x:v>
      </x:c>
      <x:c r="D43" s="34" t="str">
        <x:v>Farklı algoritma</x:v>
      </x:c>
    </x:row>
    <x:row r="44" ht="36" customHeight="1">
      <x:c r="A44" t="n">
        <x:v>39</x:v>
      </x:c>
      <x:c r="B44" s="34" t="str">
        <x:v>ADALINE</x:v>
      </x:c>
      <x:c r="C44" s="34" t="str">
        <x:v>Uyarlanabilir doğrusal nöron; öğrenirken eşiklenmiş tahmin değil doğrusal çıktı kullanır.</x:v>
      </x:c>
      <x:c r="D44" s="34" t="str">
        <x:v>Karşılaştırma</x:v>
      </x:c>
    </x:row>
    <x:row r="45" ht="36" customHeight="1">
      <x:c r="A45" t="n">
        <x:v>40</x:v>
      </x:c>
      <x:c r="B45" s="34" t="str">
        <x:v>XOR</x:v>
      </x:c>
      <x:c r="C45" s="34" t="str">
        <x:v>İki giriş farklıysa pozitif çıktı üreten; tek doğrusal karar sınırıyla ayrılamayan problem.</x:v>
      </x:c>
      <x:c r="D45" s="34" t="str">
        <x:v>Sınırlılık</x:v>
      </x:c>
    </x:row>
    <x:row r="46" ht="36" customHeight="1">
      <x:c r="A46" t="n">
        <x:v>41</x:v>
      </x:c>
      <x:c r="B46" s="34" t="str">
        <x:v>Başlangıç değerleri / Initialization</x:v>
      </x:c>
      <x:c r="C46" s="34" t="str">
        <x:v>Eğitimden önce ağırlık ve bias için seçilen değerler.</x:v>
      </x:c>
      <x:c r="D46" s="34" t="str">
        <x:v>Parametreler</x:v>
      </x:c>
    </x:row>
    <x:row r="47" ht="36" customHeight="1">
      <x:c r="A47" t="n">
        <x:v>42</x:v>
      </x:c>
      <x:c r="B47" s="34" t="str">
        <x:v>Kararlı durum / Stable classification</x:v>
      </x:c>
      <x:c r="C47" s="34" t="str">
        <x:v>Tüm eğitim örneklerinde tahminin doğru olması; güncelleme yapılmaması.</x:v>
      </x:c>
      <x:c r="D47" s="34" t="str">
        <x:v>Epoch hata=0</x:v>
      </x:c>
    </x:row>
    <x:row r="48" ht="36" customHeight="1">
      <x:c r="A48" t="n">
        <x:v>43</x:v>
      </x:c>
      <x:c r="B48" s="34" t="str">
        <x:v>Sıra bağımlılığı / Order dependence</x:v>
      </x:c>
      <x:c r="C48" s="34" t="str">
        <x:v>Örnek işleme sırasının ağırlıkların izlediği yolu etkileyebilmesi.</x:v>
      </x:c>
      <x:c r="D48" s="34" t="str">
        <x:v>Veri sırası</x:v>
      </x:c>
    </x:row>
    <x:row r="49" ht="36" customHeight="1">
      <x:c r="A49" t="n">
        <x:v>44</x:v>
      </x:c>
      <x:c r="B49" s="34" t="str">
        <x:v>Aşırı öğrenme / Overfitting</x:v>
      </x:c>
      <x:c r="C49" s="34" t="str">
        <x:v>Eğitim örneklerine uyum sağlarken yeni verilere genellemenin zayıflaması.</x:v>
      </x:c>
      <x:c r="D49" s="34" t="str">
        <x:v>Genel ML kavramı</x:v>
      </x:c>
    </x:row>
    <x:row r="50" ht="36" customHeight="1">
      <x:c r="A50" t="n">
        <x:v>45</x:v>
      </x:c>
      <x:c r="B50" s="34" t="str">
        <x:v>Genelleme / Generalization</x:v>
      </x:c>
      <x:c r="C50" s="34" t="str">
        <x:v>Eğitimde görülmeyen verilere de doğru karar verebilme yeteneği.</x:v>
      </x:c>
      <x:c r="D50" s="34" t="str">
        <x:v>Daha büyük projeler</x:v>
      </x:c>
    </x:row>
    <x:row r="51" ht="36" customHeight="1">
      <x:c r="A51" t="n">
        <x:v>46</x:v>
      </x:c>
      <x:c r="B51" s="34" t="str">
        <x:v>Karar bölgesi / Decision region</x:v>
      </x:c>
      <x:c r="C51" s="34" t="str">
        <x:v>Her sınıfa atanan giriş uzayı bölgesi.</x:v>
      </x:c>
      <x:c r="D51" s="34" t="str">
        <x:v>Karar sınırının iki tarafı</x:v>
      </x:c>
    </x:row>
    <x:row r="52" ht="36" customHeight="1">
      <x:c r="A52" t="n">
        <x:v>47</x:v>
      </x:c>
      <x:c r="B52" s="34" t="str">
        <x:v>Excel IF</x:v>
      </x:c>
      <x:c r="C52" s="34" t="str">
        <x:v>Koşullu hesaplama işlevi.</x:v>
      </x:c>
      <x:c r="D52" s="34" t="str">
        <x:v>Tahmin ve hata</x:v>
      </x:c>
    </x:row>
    <x:row r="53" ht="36" customHeight="1">
      <x:c r="A53" t="n">
        <x:v>48</x:v>
      </x:c>
      <x:c r="B53" s="34" t="str">
        <x:v>Excel INDEX</x:v>
      </x:c>
      <x:c r="C53" s="34" t="str">
        <x:v>Listedeki konuma göre değer getiren işlev.</x:v>
      </x:c>
      <x:c r="D53" s="34" t="str">
        <x:v>Örnek verisi okuma</x:v>
      </x:c>
    </x:row>
    <x:row r="54" ht="36" customHeight="1">
      <x:c r="A54" t="n">
        <x:v>49</x:v>
      </x:c>
      <x:c r="B54" s="34" t="str">
        <x:v>Excel MOD</x:v>
      </x:c>
      <x:c r="C54" s="34" t="str">
        <x:v>Bölümden kalanı hesaplayan işlev.</x:v>
      </x:c>
      <x:c r="D54" s="34" t="str">
        <x:v>Örnek döngüsü</x:v>
      </x:c>
    </x:row>
    <x:row r="55" ht="36" customHeight="1">
      <x:c r="A55" t="n">
        <x:v>50</x:v>
      </x:c>
      <x:c r="B55" s="34" t="str">
        <x:v>Excel INT</x:v>
      </x:c>
      <x:c r="C55" s="34" t="str">
        <x:v>Sayının alt tam sayısını veren işlev.</x:v>
      </x:c>
      <x:c r="D55" s="34" t="str">
        <x:v>Epoch hesabı</x:v>
      </x:c>
    </x:row>
    <x:row r="56" ht="36" customHeight="1">
      <x:c r="A56" t="n">
        <x:v>51</x:v>
      </x:c>
      <x:c r="B56" s="34" t="str">
        <x:v>Excel SUMIF</x:v>
      </x:c>
      <x:c r="C56" s="34" t="str">
        <x:v>Koşulu karşılayan satırları toplayan işlev.</x:v>
      </x:c>
      <x:c r="D56" s="34" t="str">
        <x:v>Epoch hatası</x:v>
      </x:c>
    </x:row>
    <x:row r="57" ht="36" customHeight="1">
      <x:c r="A57" t="n">
        <x:v>52</x:v>
      </x:c>
      <x:c r="B57" s="34" t="str">
        <x:v>Mutlak hücre başvurusu / $</x:v>
      </x:c>
      <x:c r="C57" s="34" t="str">
        <x:v>Formül taşınırken satır/sütun referansını sabitler.</x:v>
      </x:c>
      <x:c r="D57" s="34" t="str">
        <x:v>$B$6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7" hidden="0" customWidth="1"/>
    <x:col min="3" max="3" width="45" hidden="0" customWidth="1"/>
    <x:col min="4" max="4" width="25" hidden="0" customWidth="1"/>
    <x:col min="5" max="5" width="5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4" t="str">
        <x:v>ELLE HESAPLAMA | İLK ÖĞRENME ADIMI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9" t="str">
        <x:v>Başlangıç ağırlıkları 0, η=0,2 ve ilk veri (−1,−1,−1) varsayımıyla örnek gösterim.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5" t="str">
        <x:v>Sıra</x:v>
      </x:c>
      <x:c r="B5" s="15" t="str">
        <x:v>İşlem</x:v>
      </x:c>
      <x:c r="C5" s="15" t="str">
        <x:v>Matematik</x:v>
      </x:c>
      <x:c r="D5" s="15" t="str">
        <x:v>Sonuç</x:v>
      </x:c>
      <x:c r="E5" s="15" t="str">
        <x:v>Açıklama</x:v>
      </x:c>
    </x:row>
    <x:row r="6" ht="38" customHeight="1">
      <x:c r="A6" t="n">
        <x:v>1</x:v>
      </x:c>
      <x:c r="B6" s="34" t="str">
        <x:v>Başlangıç girdileri</x:v>
      </x:c>
      <x:c r="C6" s="34" t="str">
        <x:v>x1=−1; x2=−1; t=−1</x:v>
      </x:c>
      <x:c r="D6" s="34" t="str">
        <x:v>−1, −1, −1</x:v>
      </x:c>
      <x:c r="E6" s="34" t="str">
        <x:v>Bipolar AND birinci örneği</x:v>
      </x:c>
    </x:row>
    <x:row r="7" ht="38" customHeight="1">
      <x:c r="A7" t="n">
        <x:v>2</x:v>
      </x:c>
      <x:c r="B7" s="34" t="str">
        <x:v>Başlangıç değerleri</x:v>
      </x:c>
      <x:c r="C7" s="34" t="str">
        <x:v>w1=0; w2=0; b=0; η=0,2</x:v>
      </x:c>
      <x:c r="D7" s="34" t="str">
        <x:v>0, 0, 0, 0,2</x:v>
      </x:c>
      <x:c r="E7" s="34" t="str">
        <x:v>Parametre varsayımı</x:v>
      </x:c>
    </x:row>
    <x:row r="8" ht="38" customHeight="1">
      <x:c r="A8" t="n">
        <x:v>3</x:v>
      </x:c>
      <x:c r="B8" s="34" t="str">
        <x:v>Net hesaplama</x:v>
      </x:c>
      <x:c r="C8" s="34" t="str">
        <x:v>0·(−1)+0·(−1)+0</x:v>
      </x:c>
      <x:c r="D8" s="34" t="str">
        <x:v>0</x:v>
      </x:c>
      <x:c r="E8" s="34" t="str">
        <x:v>Net=0 olduğundan eşik çıktısı +1</x:v>
      </x:c>
    </x:row>
    <x:row r="9" ht="38" customHeight="1">
      <x:c r="A9" t="n">
        <x:v>4</x:v>
      </x:c>
      <x:c r="B9" s="34" t="str">
        <x:v>Tahmin</x:v>
      </x:c>
      <x:c r="C9" s="34" t="str">
        <x:v>net ≥0 ⇒ ŷ=+1</x:v>
      </x:c>
      <x:c r="D9" s="34" t="str">
        <x:v>+1</x:v>
      </x:c>
      <x:c r="E9" s="34" t="str">
        <x:v>Hedef −1, tahmin +1: hata var</x:v>
      </x:c>
    </x:row>
    <x:row r="10" ht="38" customHeight="1">
      <x:c r="A10" t="n">
        <x:v>5</x:v>
      </x:c>
      <x:c r="B10" s="34" t="str">
        <x:v>Hata göstergesi</x:v>
      </x:c>
      <x:c r="C10" s="34" t="str">
        <x:v>I=1 (ŷ ≠ t)</x:v>
      </x:c>
      <x:c r="D10" s="34" t="str">
        <x:v>1</x:v>
      </x:c>
      <x:c r="E10" s="34" t="str">
        <x:v>Güncelleme yapılacak</x:v>
      </x:c>
    </x:row>
    <x:row r="11" ht="38" customHeight="1">
      <x:c r="A11" t="n">
        <x:v>6</x:v>
      </x:c>
      <x:c r="B11" s="34" t="str">
        <x:v>Yeni w1</x:v>
      </x:c>
      <x:c r="C11" s="34" t="str">
        <x:v>0+0,2·(−1)·(−1)·1</x:v>
      </x:c>
      <x:c r="D11" s="34" t="str">
        <x:v>0,2</x:v>
      </x:c>
      <x:c r="E11" s="34" t="str">
        <x:v>Ağırlık 1 artar</x:v>
      </x:c>
    </x:row>
    <x:row r="12" ht="38" customHeight="1">
      <x:c r="A12" t="n">
        <x:v>7</x:v>
      </x:c>
      <x:c r="B12" s="34" t="str">
        <x:v>Yeni w2</x:v>
      </x:c>
      <x:c r="C12" s="34" t="str">
        <x:v>0+0,2·(−1)·(−1)·1</x:v>
      </x:c>
      <x:c r="D12" s="34" t="str">
        <x:v>0,2</x:v>
      </x:c>
      <x:c r="E12" s="34" t="str">
        <x:v>Ağırlık 2 artar</x:v>
      </x:c>
    </x:row>
    <x:row r="13" ht="38" customHeight="1">
      <x:c r="A13" t="n">
        <x:v>8</x:v>
      </x:c>
      <x:c r="B13" s="34" t="str">
        <x:v>Yeni bias</x:v>
      </x:c>
      <x:c r="C13" s="34" t="str">
        <x:v>0+0,2·(−1)·1</x:v>
      </x:c>
      <x:c r="D13" s="34" t="str">
        <x:v>−0,2</x:v>
      </x:c>
      <x:c r="E13" s="34" t="str">
        <x:v>Bias azalır</x:v>
      </x:c>
    </x:row>
    <x:row r="14" ht="38" customHeight="1">
      <x:c r="A14" t="n">
        <x:v>9</x:v>
      </x:c>
      <x:c r="B14" s="34" t="str">
        <x:v>Sonraki örnek</x:v>
      </x:c>
      <x:c r="C14" s="34" t="str">
        <x:v>x1=−1; x2=+1; t=−1</x:v>
      </x:c>
      <x:c r="D14" s="34" t="str">
        <x:v>—</x:v>
      </x:c>
      <x:c r="E14" s="34" t="str">
        <x:v>Yeni ağırlıklarla hesaplama devam eder</x:v>
      </x:c>
    </x:row>
    <x:row r="17" ht="24" customHeight="1">
      <x:c r="A17" s="13" t="str">
        <x:v>CANLI KONTROL (Parametreler değiştikçe güncellenir)</x:v>
      </x:c>
    </x:row>
    <x:row r="19" ht="30" customHeight="1">
      <x:c r="A19" s="15" t="str">
        <x:v>Ölçüm</x:v>
      </x:c>
      <x:c r="B19" s="15" t="str">
        <x:v>Excel formülü</x:v>
      </x:c>
      <x:c r="C19" s="15" t="str">
        <x:v>Değer</x:v>
      </x:c>
    </x:row>
    <x:row r="20">
      <x:c r="A20" t="str">
        <x:v>Birinci adım net</x:v>
      </x:c>
      <x:c r="B20" t="str">
        <x:v>'Eğitim Adımları'!J6</x:v>
      </x:c>
      <x:c r="C20" t="n">
        <x:f>'Eğitim Adımları'!J6</x:f>
        <x:v>0</x:v>
      </x:c>
    </x:row>
    <x:row r="21">
      <x:c r="A21" t="str">
        <x:v>Birinci adım tahmin</x:v>
      </x:c>
      <x:c r="B21" t="str">
        <x:v>'Eğitim Adımları'!K6</x:v>
      </x:c>
      <x:c r="C21" t="n">
        <x:f>'Eğitim Adımları'!K6</x:f>
        <x:v>1</x:v>
      </x:c>
    </x:row>
    <x:row r="22">
      <x:c r="A22" t="str">
        <x:v>Birinci adım hata</x:v>
      </x:c>
      <x:c r="B22" t="str">
        <x:v>'Eğitim Adımları'!L6</x:v>
      </x:c>
      <x:c r="C22" t="n">
        <x:f>'Eğitim Adımları'!L6</x:f>
        <x:v>1</x:v>
      </x:c>
    </x:row>
    <x:row r="23">
      <x:c r="A23" t="str">
        <x:v>Güncellenmiş w1</x:v>
      </x:c>
      <x:c r="B23" t="str">
        <x:v>'Eğitim Adımları'!M6</x:v>
      </x:c>
      <x:c r="C23" t="n">
        <x:f>'Eğitim Adımları'!M6</x:f>
        <x:v>0.2</x:v>
      </x:c>
    </x:row>
    <x:row r="24">
      <x:c r="A24" t="str">
        <x:v>Güncellenmiş w2</x:v>
      </x:c>
      <x:c r="B24" t="str">
        <x:v>'Eğitim Adımları'!N6</x:v>
      </x:c>
      <x:c r="C24" t="n">
        <x:f>'Eğitim Adımları'!N6</x:f>
        <x:v>0.2</x:v>
      </x:c>
    </x:row>
    <x:row r="25">
      <x:c r="A25" t="str">
        <x:v>Güncellenmiş bias</x:v>
      </x:c>
      <x:c r="B25" t="str">
        <x:v>'Eğitim Adımları'!O6</x:v>
      </x:c>
      <x:c r="C25" t="n">
        <x:f>'Eğitim Adımları'!O6</x:f>
        <x:v>-0.2</x:v>
      </x:c>
    </x:row>
    <x:row r="28">
      <x:c r="A28" s="21" t="str">
        <x:v>Dikkat: Yukarıdaki elle çözüm varsayılan parametreler içindir. Sarı girişleri değiştirirseniz canlı kontrol alanı güncellenir; sabit örnek çözüm metni değişmez.</x:v>
      </x:c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</x:sheetData>
  <x:mergeCells>
    <x:mergeCell ref="A1:H2"/>
    <x:mergeCell ref="A3:H3"/>
    <x:mergeCell ref="A28:H29"/>
  </x:mergeCells>
  <x:pageMargins left="0.7" right="0.7" top="0.75" bottom="0.75" header="0.3" footer="0.3"/>
</x:worksheet>
</file>