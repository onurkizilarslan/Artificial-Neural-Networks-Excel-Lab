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b36a21149947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0ba2721f15204343"/>
    <x:sheet xmlns:r="http://schemas.openxmlformats.org/officeDocument/2006/relationships" name="Parameters" sheetId="2" r:id="Rb6848bae854d491f"/>
    <x:sheet xmlns:r="http://schemas.openxmlformats.org/officeDocument/2006/relationships" name="Dataset" sheetId="3" r:id="Rab67a6ff7e3f4220"/>
    <x:sheet xmlns:r="http://schemas.openxmlformats.org/officeDocument/2006/relationships" name="Training" sheetId="4" r:id="Ra32964fba16740a1"/>
    <x:sheet xmlns:r="http://schemas.openxmlformats.org/officeDocument/2006/relationships" name="Epoch Analysis" sheetId="5" r:id="R58b82badbb2a4306"/>
    <x:sheet xmlns:r="http://schemas.openxmlformats.org/officeDocument/2006/relationships" name="Formulas" sheetId="6" r:id="R77028111f31946cc"/>
    <x:sheet xmlns:r="http://schemas.openxmlformats.org/officeDocument/2006/relationships" name="Glossary" sheetId="7" r:id="Rfa02364d22da46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07F86"/>
      </x:patternFill>
    </x:fill>
    <x:fill>
      <x:patternFill patternType="solid">
        <x:fgColor rgb="FFFFF1A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aa0c13aca34ed2" /><Relationship Type="http://schemas.openxmlformats.org/officeDocument/2006/relationships/theme" Target="/xl/theme/theme1.xml" Id="R23c284a810b8476a" /><Relationship Type="http://schemas.openxmlformats.org/officeDocument/2006/relationships/sharedStrings" Target="/xl/sharedStrings.xml" Id="R87d9483f3ccf4acd" /><Relationship Type="http://schemas.openxmlformats.org/officeDocument/2006/relationships/worksheet" Target="/xl/worksheets/sheet1.xml" Id="R0ba2721f15204343" /><Relationship Type="http://schemas.openxmlformats.org/officeDocument/2006/relationships/worksheet" Target="/xl/worksheets/sheet2.xml" Id="Rb6848bae854d491f" /><Relationship Type="http://schemas.openxmlformats.org/officeDocument/2006/relationships/worksheet" Target="/xl/worksheets/sheet3.xml" Id="Rab67a6ff7e3f4220" /><Relationship Type="http://schemas.openxmlformats.org/officeDocument/2006/relationships/worksheet" Target="/xl/worksheets/sheet4.xml" Id="Ra32964fba16740a1" /><Relationship Type="http://schemas.openxmlformats.org/officeDocument/2006/relationships/worksheet" Target="/xl/worksheets/sheet5.xml" Id="R58b82badbb2a4306" /><Relationship Type="http://schemas.openxmlformats.org/officeDocument/2006/relationships/worksheet" Target="/xl/worksheets/sheet6.xml" Id="R77028111f31946cc" /><Relationship Type="http://schemas.openxmlformats.org/officeDocument/2006/relationships/worksheet" Target="/xl/worksheets/sheet7.xml" Id="Rfa02364d22da468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fb2c3b6e9e64b5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Learning curve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Training mistakes</c:v>
          </c:tx>
          <c:marker>
            <c:symbol val="none"/>
          </c:marker>
          <c:cat>
            <c:strRef>
              <c:f>'Epoch Analysis'!$A$5:$A$24</c:f>
              <c:strCache>
                <c:ptCount val="0"/>
              </c:strCache>
            </c:strRef>
          </c:cat>
          <c:val>
            <c:numRef>
              <c:f>'Epoch Analysis'!$B$5:$B$24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b2c3b6e9e64b5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36ef6292bef74f2e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91" hidden="0" customWidth="1"/>
  </x:cols>
  <x:sheetData>
    <x:row r="1" ht="26" customHeight="1">
      <x:c r="A1" s="3" t="str">
        <x:v>PERCEPTRON | INTERACTIVE EXCEL LEARNING LAB</x:v>
      </x:c>
      <x:c r="B1" s="3"/>
      <x:c r="C1" s="3"/>
      <x:c r="D1" s="3"/>
      <x:c r="E1" s="3"/>
      <x:c r="F1" s="3"/>
    </x:row>
    <x:row r="2" ht="26" customHeight="1">
      <x:c r="A2" s="3"/>
      <x:c r="B2" s="3"/>
      <x:c r="C2" s="3"/>
      <x:c r="D2" s="3"/>
      <x:c r="E2" s="3"/>
      <x:c r="F2" s="3"/>
    </x:row>
    <x:row r="4">
      <x:c r="A4" t="str">
        <x:v>Purpose</x:v>
      </x:c>
      <x:c r="B4" t="str">
        <x:v>Explore neural-network learning using spreadsheet formulas.</x:v>
      </x:c>
    </x:row>
    <x:row r="5">
      <x:c r="A5" t="str">
        <x:v>Dataset</x:v>
      </x:c>
      <x:c r="B5" t="str">
        <x:v>Bipolar AND with four examples (-1 / +1).</x:v>
      </x:c>
    </x:row>
    <x:row r="6">
      <x:c r="A6" t="str">
        <x:v>How to use</x:v>
      </x:c>
      <x:c r="B6" t="str">
        <x:v>Change yellow inputs on the Parameters sheet.</x:v>
      </x:c>
    </x:row>
    <x:row r="7">
      <x:c r="A7" t="str">
        <x:v>Step 1</x:v>
      </x:c>
      <x:c r="B7" t="str">
        <x:v>Review the common training dataset.</x:v>
      </x:c>
    </x:row>
    <x:row r="8">
      <x:c r="A8" t="str">
        <x:v>Step 2</x:v>
      </x:c>
      <x:c r="B8" t="str">
        <x:v>Follow every online learning update on Training.</x:v>
      </x:c>
    </x:row>
    <x:row r="9">
      <x:c r="A9" t="str">
        <x:v>Step 3</x:v>
      </x:c>
      <x:c r="B9" t="str">
        <x:v>Compare the changes in Epoch Analysis.</x:v>
      </x:c>
    </x:row>
    <x:row r="10">
      <x:c r="A10" t="str">
        <x:v>Step 4</x:v>
      </x:c>
      <x:c r="B10" t="str">
        <x:v>Read Formulas and Glossary for technical background.</x:v>
      </x:c>
    </x:row>
    <x:row r="11">
      <x:c r="A11" t="str">
        <x:v>Learning rule</x:v>
      </x:c>
      <x:c r="B11" t="str">
        <x:v>ADALINE uses linear residuals; Perceptron updates only on mistakes.</x:v>
      </x:c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2" hidden="0" customWidth="1"/>
    <x:col min="3" max="3" width="60" hidden="0" customWidth="1"/>
  </x:cols>
  <x:sheetData>
    <x:row r="1" ht="26" customHeight="1">
      <x:c r="A1" s="3" t="str">
        <x:v>MODEL PARAMETERS</x:v>
      </x:c>
      <x:c r="B1" s="3"/>
      <x:c r="C1" s="3"/>
      <x:c r="D1" s="3"/>
      <x:c r="E1" s="3"/>
      <x:c r="F1" s="3"/>
    </x:row>
    <x:row r="2" ht="26" customHeight="1">
      <x:c r="A2" s="3"/>
      <x:c r="B2" s="3"/>
      <x:c r="C2" s="3"/>
      <x:c r="D2" s="3"/>
      <x:c r="E2" s="3"/>
      <x:c r="F2" s="3"/>
    </x:row>
    <x:row r="4" ht="27" customHeight="1">
      <x:c r="A4" s="7" t="str">
        <x:v>Parameter</x:v>
      </x:c>
      <x:c r="B4" s="7" t="str">
        <x:v>Value</x:v>
      </x:c>
      <x:c r="C4" s="7" t="str">
        <x:v>Explanation</x:v>
      </x:c>
    </x:row>
    <x:row r="5">
      <x:c r="A5" t="str">
        <x:v>Learning rate η</x:v>
      </x:c>
      <x:c r="B5" s="10" t="n">
        <x:v>0.1</x:v>
      </x:c>
      <x:c r="C5" t="str">
        <x:v>Editable; keep positive and moderate.</x:v>
      </x:c>
    </x:row>
    <x:row r="6">
      <x:c r="A6" t="str">
        <x:v>Initial w1</x:v>
      </x:c>
      <x:c r="B6" s="10" t="n">
        <x:v>0</x:v>
      </x:c>
      <x:c r="C6" t="str">
        <x:v>Initial first input weight.</x:v>
      </x:c>
    </x:row>
    <x:row r="7">
      <x:c r="A7" t="str">
        <x:v>Initial w2</x:v>
      </x:c>
      <x:c r="B7" s="10" t="n">
        <x:v>0</x:v>
      </x:c>
      <x:c r="C7" t="str">
        <x:v>Initial second input weight.</x:v>
      </x:c>
    </x:row>
    <x:row r="8">
      <x:c r="A8" t="str">
        <x:v>Initial bias</x:v>
      </x:c>
      <x:c r="B8" s="10" t="n">
        <x:v>0</x:v>
      </x:c>
      <x:c r="C8" t="str">
        <x:v>Trainable intercept.</x:v>
      </x:c>
    </x:row>
    <x:row r="9">
      <x:c r="A9" t="str">
        <x:v>Epochs</x:v>
      </x:c>
      <x:c r="B9" t="n">
        <x:v>20</x:v>
      </x:c>
      <x:c r="C9" t="str">
        <x:v>20 complete dataset passes are shown.</x:v>
      </x:c>
    </x:row>
    <x:row r="10">
      <x:c r="A10" t="str">
        <x:v>Samples per epoch</x:v>
      </x:c>
      <x:c r="B10" t="n">
        <x:v>4</x:v>
      </x:c>
      <x:c r="C10" t="str">
        <x:v>Four bipolar AND cases.</x:v>
      </x:c>
    </x:row>
  </x:sheetData>
  <x:mergeCells>
    <x:mergeCell ref="A1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2" hidden="0" customWidth="1"/>
    <x:col min="5" max="5" width="34" hidden="0" customWidth="1"/>
  </x:cols>
  <x:sheetData>
    <x:row r="1" ht="26" customHeight="1">
      <x:c r="A1" s="3" t="str">
        <x:v>SHARED BIPOLAR AND DATASET</x:v>
      </x:c>
      <x:c r="B1" s="3"/>
      <x:c r="C1" s="3"/>
      <x:c r="D1" s="3"/>
      <x:c r="E1" s="3"/>
      <x:c r="F1" s="3"/>
    </x:row>
    <x:row r="2" ht="26" customHeight="1">
      <x:c r="A2" s="3"/>
      <x:c r="B2" s="3"/>
      <x:c r="C2" s="3"/>
      <x:c r="D2" s="3"/>
      <x:c r="E2" s="3"/>
      <x:c r="F2" s="3"/>
    </x:row>
    <x:row r="4" ht="27" customHeight="1">
      <x:c r="A4" s="7" t="str">
        <x:v>Sample</x:v>
      </x:c>
      <x:c r="B4" s="7" t="str">
        <x:v>x1</x:v>
      </x:c>
      <x:c r="C4" s="7" t="str">
        <x:v>x2</x:v>
      </x:c>
      <x:c r="D4" s="7" t="str">
        <x:v>Target t</x:v>
      </x:c>
      <x:c r="E4" s="7" t="str">
        <x:v>Logic</x:v>
      </x:c>
    </x:row>
    <x:row r="5">
      <x:c r="A5" t="n">
        <x:v>1</x:v>
      </x:c>
      <x:c r="B5" t="n">
        <x:v>-1</x:v>
      </x:c>
      <x:c r="C5" t="n">
        <x:v>-1</x:v>
      </x:c>
      <x:c r="D5" t="n">
        <x:v>-1</x:v>
      </x:c>
      <x:c r="E5" t="str">
        <x:v>-1 AND -1 -&gt; -1</x:v>
      </x:c>
    </x:row>
    <x:row r="6">
      <x:c r="A6" t="n">
        <x:v>2</x:v>
      </x:c>
      <x:c r="B6" t="n">
        <x:v>-1</x:v>
      </x:c>
      <x:c r="C6" t="n">
        <x:v>1</x:v>
      </x:c>
      <x:c r="D6" t="n">
        <x:v>-1</x:v>
      </x:c>
      <x:c r="E6" t="str">
        <x:v>-1 AND +1 -&gt; -1</x:v>
      </x:c>
    </x:row>
    <x:row r="7">
      <x:c r="A7" t="n">
        <x:v>3</x:v>
      </x:c>
      <x:c r="B7" t="n">
        <x:v>1</x:v>
      </x:c>
      <x:c r="C7" t="n">
        <x:v>-1</x:v>
      </x:c>
      <x:c r="D7" t="n">
        <x:v>-1</x:v>
      </x:c>
      <x:c r="E7" t="str">
        <x:v>+1 AND -1 -&gt; -1</x:v>
      </x:c>
    </x:row>
    <x:row r="8">
      <x:c r="A8" t="n">
        <x:v>4</x:v>
      </x:c>
      <x:c r="B8" t="n">
        <x:v>1</x:v>
      </x:c>
      <x:c r="C8" t="n">
        <x:v>1</x:v>
      </x:c>
      <x:c r="D8" t="n">
        <x:v>1</x:v>
      </x:c>
      <x:c r="E8" t="str">
        <x:v>+1 AND +1 -&gt; +1</x:v>
      </x:c>
    </x:row>
  </x:sheetData>
  <x:mergeCells>
    <x:mergeCell ref="A1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6" customHeight="1">
      <x:c r="A1" s="3" t="str">
        <x:v>PERCEPTRON | ONLINE TRAINING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6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4" ht="27" customHeight="1">
      <x:c r="A4" s="7" t="str">
        <x:v>Step</x:v>
      </x:c>
      <x:c r="B4" s="7" t="str">
        <x:v>Epoch</x:v>
      </x:c>
      <x:c r="C4" s="7" t="str">
        <x:v>Sample</x:v>
      </x:c>
      <x:c r="D4" s="7" t="str">
        <x:v>x1</x:v>
      </x:c>
      <x:c r="E4" s="7" t="str">
        <x:v>x2</x:v>
      </x:c>
      <x:c r="F4" s="7" t="str">
        <x:v>Target t</x:v>
      </x:c>
      <x:c r="G4" s="7" t="str">
        <x:v>w1 before</x:v>
      </x:c>
      <x:c r="H4" s="7" t="str">
        <x:v>w2 before</x:v>
      </x:c>
      <x:c r="I4" s="7" t="str">
        <x:v>b before</x:v>
      </x:c>
      <x:c r="J4" s="7" t="str">
        <x:v>Net</x:v>
      </x:c>
      <x:c r="K4" s="7" t="str">
        <x:v>Predicted</x:v>
      </x:c>
      <x:c r="L4" s="7" t="str">
        <x:v>Mistake 1/0</x:v>
      </x:c>
      <x:c r="M4" s="7" t="str">
        <x:v>w1 after</x:v>
      </x:c>
      <x:c r="N4" s="7" t="str">
        <x:v>w2 after</x:v>
      </x:c>
      <x:c r="O4" s="7" t="str">
        <x:v>b after</x:v>
      </x:c>
    </x:row>
    <x:row r="5">
      <x:c r="A5" t="n">
        <x:f>1</x:f>
        <x:v>1</x:v>
      </x:c>
      <x:c r="B5" t="n">
        <x:f>INT((A5-1)/4)+1</x:f>
        <x:v>1</x:v>
      </x:c>
      <x:c r="C5" t="n">
        <x:f>MOD(A5-1,4)+1</x:f>
        <x:v>1</x:v>
      </x:c>
      <x:c r="D5" t="n">
        <x:f>INDEX(Dataset!$B$5:$B$8,C5)</x:f>
        <x:v>-1</x:v>
      </x:c>
      <x:c r="E5" t="n">
        <x:f>INDEX(Dataset!$C$5:$C$8,C5)</x:f>
        <x:v>-1</x:v>
      </x:c>
      <x:c r="F5" t="n">
        <x:f>INDEX(Dataset!$D$5:$D$8,C5)</x:f>
        <x:v>-1</x:v>
      </x:c>
      <x:c r="G5" t="n">
        <x:f>Parameters!$B$6</x:f>
        <x:v>0</x:v>
      </x:c>
      <x:c r="H5" t="n">
        <x:f>Parameters!$B$7</x:f>
        <x:v>0</x:v>
      </x:c>
      <x:c r="I5" t="n">
        <x:f>Parameters!$B$8</x:f>
        <x:v>0</x:v>
      </x:c>
      <x:c r="J5" t="n">
        <x:f>G5*D5+H5*E5+I5</x:f>
        <x:v>0</x:v>
      </x:c>
      <x:c r="K5" t="n">
        <x:f>IF(J5&gt;=0,1,-1)</x:f>
        <x:v>1</x:v>
      </x:c>
      <x:c r="L5" t="n">
        <x:f>IF(K5=F5,0,1)</x:f>
        <x:v>1</x:v>
      </x:c>
      <x:c r="M5" t="n">
        <x:f>G5+Parameters!$B$5*F5*D5*L5</x:f>
        <x:v>0.1</x:v>
      </x:c>
      <x:c r="N5" t="n">
        <x:f>H5+Parameters!$B$5*F5*E5*L5</x:f>
        <x:v>0.1</x:v>
      </x:c>
      <x:c r="O5" t="n">
        <x:f>I5+Parameters!$B$5*F5*L5</x:f>
        <x:v>-0.1</x:v>
      </x:c>
    </x:row>
    <x:row r="6">
      <x:c r="A6" t="n">
        <x:f>2</x:f>
        <x:v>2</x:v>
      </x:c>
      <x:c r="B6" t="n">
        <x:f>INT((A6-1)/4)+1</x:f>
        <x:v>1</x:v>
      </x:c>
      <x:c r="C6" t="n">
        <x:f>MOD(A6-1,4)+1</x:f>
        <x:v>2</x:v>
      </x:c>
      <x:c r="D6" t="n">
        <x:f>INDEX(Dataset!$B$5:$B$8,C6)</x:f>
        <x:v>-1</x:v>
      </x:c>
      <x:c r="E6" t="n">
        <x:f>INDEX(Dataset!$C$5:$C$8,C6)</x:f>
        <x:v>1</x:v>
      </x:c>
      <x:c r="F6" t="n">
        <x:f>INDEX(Dataset!$D$5:$D$8,C6)</x:f>
        <x:v>-1</x:v>
      </x:c>
      <x:c r="G6" t="n">
        <x:f>M5</x:f>
        <x:v>0.1</x:v>
      </x:c>
      <x:c r="H6" t="n">
        <x:f>N5</x:f>
        <x:v>0.1</x:v>
      </x:c>
      <x:c r="I6" t="n">
        <x:f>O5</x:f>
        <x:v>-0.1</x:v>
      </x:c>
      <x:c r="J6" t="n">
        <x:f>G6*D6+H6*E6+I6</x:f>
        <x:v>-0.1</x:v>
      </x:c>
      <x:c r="K6" t="n">
        <x:f>IF(J6&gt;=0,1,-1)</x:f>
        <x:v>-1</x:v>
      </x:c>
      <x:c r="L6" t="n">
        <x:f>IF(K6=F6,0,1)</x:f>
        <x:v>0</x:v>
      </x:c>
      <x:c r="M6" t="n">
        <x:f>G6+Parameters!$B$5*F6*D6*L6</x:f>
        <x:v>0.1</x:v>
      </x:c>
      <x:c r="N6" t="n">
        <x:f>H6+Parameters!$B$5*F6*E6*L6</x:f>
        <x:v>0.1</x:v>
      </x:c>
      <x:c r="O6" t="n">
        <x:f>I6+Parameters!$B$5*F6*L6</x:f>
        <x:v>-0.1</x:v>
      </x:c>
    </x:row>
    <x:row r="7">
      <x:c r="A7" t="n">
        <x:f>3</x:f>
        <x:v>3</x:v>
      </x:c>
      <x:c r="B7" t="n">
        <x:f>INT((A7-1)/4)+1</x:f>
        <x:v>1</x:v>
      </x:c>
      <x:c r="C7" t="n">
        <x:f>MOD(A7-1,4)+1</x:f>
        <x:v>3</x:v>
      </x:c>
      <x:c r="D7" t="n">
        <x:f>INDEX(Dataset!$B$5:$B$8,C7)</x:f>
        <x:v>1</x:v>
      </x:c>
      <x:c r="E7" t="n">
        <x:f>INDEX(Dataset!$C$5:$C$8,C7)</x:f>
        <x:v>-1</x:v>
      </x:c>
      <x:c r="F7" t="n">
        <x:f>INDEX(Dataset!$D$5:$D$8,C7)</x:f>
        <x:v>-1</x:v>
      </x:c>
      <x:c r="G7" t="n">
        <x:f>M6</x:f>
        <x:v>0.1</x:v>
      </x:c>
      <x:c r="H7" t="n">
        <x:f>N6</x:f>
        <x:v>0.1</x:v>
      </x:c>
      <x:c r="I7" t="n">
        <x:f>O6</x:f>
        <x:v>-0.1</x:v>
      </x:c>
      <x:c r="J7" t="n">
        <x:f>G7*D7+H7*E7+I7</x:f>
        <x:v>-0.1</x:v>
      </x:c>
      <x:c r="K7" t="n">
        <x:f>IF(J7&gt;=0,1,-1)</x:f>
        <x:v>-1</x:v>
      </x:c>
      <x:c r="L7" t="n">
        <x:f>IF(K7=F7,0,1)</x:f>
        <x:v>0</x:v>
      </x:c>
      <x:c r="M7" t="n">
        <x:f>G7+Parameters!$B$5*F7*D7*L7</x:f>
        <x:v>0.1</x:v>
      </x:c>
      <x:c r="N7" t="n">
        <x:f>H7+Parameters!$B$5*F7*E7*L7</x:f>
        <x:v>0.1</x:v>
      </x:c>
      <x:c r="O7" t="n">
        <x:f>I7+Parameters!$B$5*F7*L7</x:f>
        <x:v>-0.1</x:v>
      </x:c>
    </x:row>
    <x:row r="8">
      <x:c r="A8" t="n">
        <x:f>4</x:f>
        <x:v>4</x:v>
      </x:c>
      <x:c r="B8" t="n">
        <x:f>INT((A8-1)/4)+1</x:f>
        <x:v>1</x:v>
      </x:c>
      <x:c r="C8" t="n">
        <x:f>MOD(A8-1,4)+1</x:f>
        <x:v>4</x:v>
      </x:c>
      <x:c r="D8" t="n">
        <x:f>INDEX(Dataset!$B$5:$B$8,C8)</x:f>
        <x:v>1</x:v>
      </x:c>
      <x:c r="E8" t="n">
        <x:f>INDEX(Dataset!$C$5:$C$8,C8)</x:f>
        <x:v>1</x:v>
      </x:c>
      <x:c r="F8" t="n">
        <x:f>INDEX(Dataset!$D$5:$D$8,C8)</x:f>
        <x:v>1</x:v>
      </x:c>
      <x:c r="G8" t="n">
        <x:f>M7</x:f>
        <x:v>0.1</x:v>
      </x:c>
      <x:c r="H8" t="n">
        <x:f>N7</x:f>
        <x:v>0.1</x:v>
      </x:c>
      <x:c r="I8" t="n">
        <x:f>O7</x:f>
        <x:v>-0.1</x:v>
      </x:c>
      <x:c r="J8" t="n">
        <x:f>G8*D8+H8*E8+I8</x:f>
        <x:v>0.1</x:v>
      </x:c>
      <x:c r="K8" t="n">
        <x:f>IF(J8&gt;=0,1,-1)</x:f>
        <x:v>1</x:v>
      </x:c>
      <x:c r="L8" t="n">
        <x:f>IF(K8=F8,0,1)</x:f>
        <x:v>0</x:v>
      </x:c>
      <x:c r="M8" t="n">
        <x:f>G8+Parameters!$B$5*F8*D8*L8</x:f>
        <x:v>0.1</x:v>
      </x:c>
      <x:c r="N8" t="n">
        <x:f>H8+Parameters!$B$5*F8*E8*L8</x:f>
        <x:v>0.1</x:v>
      </x:c>
      <x:c r="O8" t="n">
        <x:f>I8+Parameters!$B$5*F8*L8</x:f>
        <x:v>-0.1</x:v>
      </x:c>
    </x:row>
    <x:row r="9">
      <x:c r="A9" t="n">
        <x:f>5</x:f>
        <x:v>5</x:v>
      </x:c>
      <x:c r="B9" t="n">
        <x:f>INT((A9-1)/4)+1</x:f>
        <x:v>2</x:v>
      </x:c>
      <x:c r="C9" t="n">
        <x:f>MOD(A9-1,4)+1</x:f>
        <x:v>1</x:v>
      </x:c>
      <x:c r="D9" t="n">
        <x:f>INDEX(Dataset!$B$5:$B$8,C9)</x:f>
        <x:v>-1</x:v>
      </x:c>
      <x:c r="E9" t="n">
        <x:f>INDEX(Dataset!$C$5:$C$8,C9)</x:f>
        <x:v>-1</x:v>
      </x:c>
      <x:c r="F9" t="n">
        <x:f>INDEX(Dataset!$D$5:$D$8,C9)</x:f>
        <x:v>-1</x:v>
      </x:c>
      <x:c r="G9" t="n">
        <x:f>M8</x:f>
        <x:v>0.1</x:v>
      </x:c>
      <x:c r="H9" t="n">
        <x:f>N8</x:f>
        <x:v>0.1</x:v>
      </x:c>
      <x:c r="I9" t="n">
        <x:f>O8</x:f>
        <x:v>-0.1</x:v>
      </x:c>
      <x:c r="J9" t="n">
        <x:f>G9*D9+H9*E9+I9</x:f>
        <x:v>-0.30000000000000004</x:v>
      </x:c>
      <x:c r="K9" t="n">
        <x:f>IF(J9&gt;=0,1,-1)</x:f>
        <x:v>-1</x:v>
      </x:c>
      <x:c r="L9" t="n">
        <x:f>IF(K9=F9,0,1)</x:f>
        <x:v>0</x:v>
      </x:c>
      <x:c r="M9" t="n">
        <x:f>G9+Parameters!$B$5*F9*D9*L9</x:f>
        <x:v>0.1</x:v>
      </x:c>
      <x:c r="N9" t="n">
        <x:f>H9+Parameters!$B$5*F9*E9*L9</x:f>
        <x:v>0.1</x:v>
      </x:c>
      <x:c r="O9" t="n">
        <x:f>I9+Parameters!$B$5*F9*L9</x:f>
        <x:v>-0.1</x:v>
      </x:c>
    </x:row>
    <x:row r="10">
      <x:c r="A10" t="n">
        <x:f>6</x:f>
        <x:v>6</x:v>
      </x:c>
      <x:c r="B10" t="n">
        <x:f>INT((A10-1)/4)+1</x:f>
        <x:v>2</x:v>
      </x:c>
      <x:c r="C10" t="n">
        <x:f>MOD(A10-1,4)+1</x:f>
        <x:v>2</x:v>
      </x:c>
      <x:c r="D10" t="n">
        <x:f>INDEX(Dataset!$B$5:$B$8,C10)</x:f>
        <x:v>-1</x:v>
      </x:c>
      <x:c r="E10" t="n">
        <x:f>INDEX(Dataset!$C$5:$C$8,C10)</x:f>
        <x:v>1</x:v>
      </x:c>
      <x:c r="F10" t="n">
        <x:f>INDEX(Dataset!$D$5:$D$8,C10)</x:f>
        <x:v>-1</x:v>
      </x:c>
      <x:c r="G10" t="n">
        <x:f>M9</x:f>
        <x:v>0.1</x:v>
      </x:c>
      <x:c r="H10" t="n">
        <x:f>N9</x:f>
        <x:v>0.1</x:v>
      </x:c>
      <x:c r="I10" t="n">
        <x:f>O9</x:f>
        <x:v>-0.1</x:v>
      </x:c>
      <x:c r="J10" t="n">
        <x:f>G10*D10+H10*E10+I10</x:f>
        <x:v>-0.1</x:v>
      </x:c>
      <x:c r="K10" t="n">
        <x:f>IF(J10&gt;=0,1,-1)</x:f>
        <x:v>-1</x:v>
      </x:c>
      <x:c r="L10" t="n">
        <x:f>IF(K10=F10,0,1)</x:f>
        <x:v>0</x:v>
      </x:c>
      <x:c r="M10" t="n">
        <x:f>G10+Parameters!$B$5*F10*D10*L10</x:f>
        <x:v>0.1</x:v>
      </x:c>
      <x:c r="N10" t="n">
        <x:f>H10+Parameters!$B$5*F10*E10*L10</x:f>
        <x:v>0.1</x:v>
      </x:c>
      <x:c r="O10" t="n">
        <x:f>I10+Parameters!$B$5*F10*L10</x:f>
        <x:v>-0.1</x:v>
      </x:c>
    </x:row>
    <x:row r="11">
      <x:c r="A11" t="n">
        <x:f>7</x:f>
        <x:v>7</x:v>
      </x:c>
      <x:c r="B11" t="n">
        <x:f>INT((A11-1)/4)+1</x:f>
        <x:v>2</x:v>
      </x:c>
      <x:c r="C11" t="n">
        <x:f>MOD(A11-1,4)+1</x:f>
        <x:v>3</x:v>
      </x:c>
      <x:c r="D11" t="n">
        <x:f>INDEX(Dataset!$B$5:$B$8,C11)</x:f>
        <x:v>1</x:v>
      </x:c>
      <x:c r="E11" t="n">
        <x:f>INDEX(Dataset!$C$5:$C$8,C11)</x:f>
        <x:v>-1</x:v>
      </x:c>
      <x:c r="F11" t="n">
        <x:f>INDEX(Dataset!$D$5:$D$8,C11)</x:f>
        <x:v>-1</x:v>
      </x:c>
      <x:c r="G11" t="n">
        <x:f>M10</x:f>
        <x:v>0.1</x:v>
      </x:c>
      <x:c r="H11" t="n">
        <x:f>N10</x:f>
        <x:v>0.1</x:v>
      </x:c>
      <x:c r="I11" t="n">
        <x:f>O10</x:f>
        <x:v>-0.1</x:v>
      </x:c>
      <x:c r="J11" t="n">
        <x:f>G11*D11+H11*E11+I11</x:f>
        <x:v>-0.1</x:v>
      </x:c>
      <x:c r="K11" t="n">
        <x:f>IF(J11&gt;=0,1,-1)</x:f>
        <x:v>-1</x:v>
      </x:c>
      <x:c r="L11" t="n">
        <x:f>IF(K11=F11,0,1)</x:f>
        <x:v>0</x:v>
      </x:c>
      <x:c r="M11" t="n">
        <x:f>G11+Parameters!$B$5*F11*D11*L11</x:f>
        <x:v>0.1</x:v>
      </x:c>
      <x:c r="N11" t="n">
        <x:f>H11+Parameters!$B$5*F11*E11*L11</x:f>
        <x:v>0.1</x:v>
      </x:c>
      <x:c r="O11" t="n">
        <x:f>I11+Parameters!$B$5*F11*L11</x:f>
        <x:v>-0.1</x:v>
      </x:c>
    </x:row>
    <x:row r="12">
      <x:c r="A12" t="n">
        <x:f>8</x:f>
        <x:v>8</x:v>
      </x:c>
      <x:c r="B12" t="n">
        <x:f>INT((A12-1)/4)+1</x:f>
        <x:v>2</x:v>
      </x:c>
      <x:c r="C12" t="n">
        <x:f>MOD(A12-1,4)+1</x:f>
        <x:v>4</x:v>
      </x:c>
      <x:c r="D12" t="n">
        <x:f>INDEX(Dataset!$B$5:$B$8,C12)</x:f>
        <x:v>1</x:v>
      </x:c>
      <x:c r="E12" t="n">
        <x:f>INDEX(Dataset!$C$5:$C$8,C12)</x:f>
        <x:v>1</x:v>
      </x:c>
      <x:c r="F12" t="n">
        <x:f>INDEX(Dataset!$D$5:$D$8,C12)</x:f>
        <x:v>1</x:v>
      </x:c>
      <x:c r="G12" t="n">
        <x:f>M11</x:f>
        <x:v>0.1</x:v>
      </x:c>
      <x:c r="H12" t="n">
        <x:f>N11</x:f>
        <x:v>0.1</x:v>
      </x:c>
      <x:c r="I12" t="n">
        <x:f>O11</x:f>
        <x:v>-0.1</x:v>
      </x:c>
      <x:c r="J12" t="n">
        <x:f>G12*D12+H12*E12+I12</x:f>
        <x:v>0.1</x:v>
      </x:c>
      <x:c r="K12" t="n">
        <x:f>IF(J12&gt;=0,1,-1)</x:f>
        <x:v>1</x:v>
      </x:c>
      <x:c r="L12" t="n">
        <x:f>IF(K12=F12,0,1)</x:f>
        <x:v>0</x:v>
      </x:c>
      <x:c r="M12" t="n">
        <x:f>G12+Parameters!$B$5*F12*D12*L12</x:f>
        <x:v>0.1</x:v>
      </x:c>
      <x:c r="N12" t="n">
        <x:f>H12+Parameters!$B$5*F12*E12*L12</x:f>
        <x:v>0.1</x:v>
      </x:c>
      <x:c r="O12" t="n">
        <x:f>I12+Parameters!$B$5*F12*L12</x:f>
        <x:v>-0.1</x:v>
      </x:c>
    </x:row>
    <x:row r="13">
      <x:c r="A13" t="n">
        <x:f>9</x:f>
        <x:v>9</x:v>
      </x:c>
      <x:c r="B13" t="n">
        <x:f>INT((A13-1)/4)+1</x:f>
        <x:v>3</x:v>
      </x:c>
      <x:c r="C13" t="n">
        <x:f>MOD(A13-1,4)+1</x:f>
        <x:v>1</x:v>
      </x:c>
      <x:c r="D13" t="n">
        <x:f>INDEX(Dataset!$B$5:$B$8,C13)</x:f>
        <x:v>-1</x:v>
      </x:c>
      <x:c r="E13" t="n">
        <x:f>INDEX(Dataset!$C$5:$C$8,C13)</x:f>
        <x:v>-1</x:v>
      </x:c>
      <x:c r="F13" t="n">
        <x:f>INDEX(Dataset!$D$5:$D$8,C13)</x:f>
        <x:v>-1</x:v>
      </x:c>
      <x:c r="G13" t="n">
        <x:f>M12</x:f>
        <x:v>0.1</x:v>
      </x:c>
      <x:c r="H13" t="n">
        <x:f>N12</x:f>
        <x:v>0.1</x:v>
      </x:c>
      <x:c r="I13" t="n">
        <x:f>O12</x:f>
        <x:v>-0.1</x:v>
      </x:c>
      <x:c r="J13" t="n">
        <x:f>G13*D13+H13*E13+I13</x:f>
        <x:v>-0.30000000000000004</x:v>
      </x:c>
      <x:c r="K13" t="n">
        <x:f>IF(J13&gt;=0,1,-1)</x:f>
        <x:v>-1</x:v>
      </x:c>
      <x:c r="L13" t="n">
        <x:f>IF(K13=F13,0,1)</x:f>
        <x:v>0</x:v>
      </x:c>
      <x:c r="M13" t="n">
        <x:f>G13+Parameters!$B$5*F13*D13*L13</x:f>
        <x:v>0.1</x:v>
      </x:c>
      <x:c r="N13" t="n">
        <x:f>H13+Parameters!$B$5*F13*E13*L13</x:f>
        <x:v>0.1</x:v>
      </x:c>
      <x:c r="O13" t="n">
        <x:f>I13+Parameters!$B$5*F13*L13</x:f>
        <x:v>-0.1</x:v>
      </x:c>
    </x:row>
    <x:row r="14">
      <x:c r="A14" t="n">
        <x:f>10</x:f>
        <x:v>10</x:v>
      </x:c>
      <x:c r="B14" t="n">
        <x:f>INT((A14-1)/4)+1</x:f>
        <x:v>3</x:v>
      </x:c>
      <x:c r="C14" t="n">
        <x:f>MOD(A14-1,4)+1</x:f>
        <x:v>2</x:v>
      </x:c>
      <x:c r="D14" t="n">
        <x:f>INDEX(Dataset!$B$5:$B$8,C14)</x:f>
        <x:v>-1</x:v>
      </x:c>
      <x:c r="E14" t="n">
        <x:f>INDEX(Dataset!$C$5:$C$8,C14)</x:f>
        <x:v>1</x:v>
      </x:c>
      <x:c r="F14" t="n">
        <x:f>INDEX(Dataset!$D$5:$D$8,C14)</x:f>
        <x:v>-1</x:v>
      </x:c>
      <x:c r="G14" t="n">
        <x:f>M13</x:f>
        <x:v>0.1</x:v>
      </x:c>
      <x:c r="H14" t="n">
        <x:f>N13</x:f>
        <x:v>0.1</x:v>
      </x:c>
      <x:c r="I14" t="n">
        <x:f>O13</x:f>
        <x:v>-0.1</x:v>
      </x:c>
      <x:c r="J14" t="n">
        <x:f>G14*D14+H14*E14+I14</x:f>
        <x:v>-0.1</x:v>
      </x:c>
      <x:c r="K14" t="n">
        <x:f>IF(J14&gt;=0,1,-1)</x:f>
        <x:v>-1</x:v>
      </x:c>
      <x:c r="L14" t="n">
        <x:f>IF(K14=F14,0,1)</x:f>
        <x:v>0</x:v>
      </x:c>
      <x:c r="M14" t="n">
        <x:f>G14+Parameters!$B$5*F14*D14*L14</x:f>
        <x:v>0.1</x:v>
      </x:c>
      <x:c r="N14" t="n">
        <x:f>H14+Parameters!$B$5*F14*E14*L14</x:f>
        <x:v>0.1</x:v>
      </x:c>
      <x:c r="O14" t="n">
        <x:f>I14+Parameters!$B$5*F14*L14</x:f>
        <x:v>-0.1</x:v>
      </x:c>
    </x:row>
    <x:row r="15">
      <x:c r="A15" t="n">
        <x:f>11</x:f>
        <x:v>11</x:v>
      </x:c>
      <x:c r="B15" t="n">
        <x:f>INT((A15-1)/4)+1</x:f>
        <x:v>3</x:v>
      </x:c>
      <x:c r="C15" t="n">
        <x:f>MOD(A15-1,4)+1</x:f>
        <x:v>3</x:v>
      </x:c>
      <x:c r="D15" t="n">
        <x:f>INDEX(Dataset!$B$5:$B$8,C15)</x:f>
        <x:v>1</x:v>
      </x:c>
      <x:c r="E15" t="n">
        <x:f>INDEX(Dataset!$C$5:$C$8,C15)</x:f>
        <x:v>-1</x:v>
      </x:c>
      <x:c r="F15" t="n">
        <x:f>INDEX(Dataset!$D$5:$D$8,C15)</x:f>
        <x:v>-1</x:v>
      </x:c>
      <x:c r="G15" t="n">
        <x:f>M14</x:f>
        <x:v>0.1</x:v>
      </x:c>
      <x:c r="H15" t="n">
        <x:f>N14</x:f>
        <x:v>0.1</x:v>
      </x:c>
      <x:c r="I15" t="n">
        <x:f>O14</x:f>
        <x:v>-0.1</x:v>
      </x:c>
      <x:c r="J15" t="n">
        <x:f>G15*D15+H15*E15+I15</x:f>
        <x:v>-0.1</x:v>
      </x:c>
      <x:c r="K15" t="n">
        <x:f>IF(J15&gt;=0,1,-1)</x:f>
        <x:v>-1</x:v>
      </x:c>
      <x:c r="L15" t="n">
        <x:f>IF(K15=F15,0,1)</x:f>
        <x:v>0</x:v>
      </x:c>
      <x:c r="M15" t="n">
        <x:f>G15+Parameters!$B$5*F15*D15*L15</x:f>
        <x:v>0.1</x:v>
      </x:c>
      <x:c r="N15" t="n">
        <x:f>H15+Parameters!$B$5*F15*E15*L15</x:f>
        <x:v>0.1</x:v>
      </x:c>
      <x:c r="O15" t="n">
        <x:f>I15+Parameters!$B$5*F15*L15</x:f>
        <x:v>-0.1</x:v>
      </x:c>
    </x:row>
    <x:row r="16">
      <x:c r="A16" t="n">
        <x:f>12</x:f>
        <x:v>12</x:v>
      </x:c>
      <x:c r="B16" t="n">
        <x:f>INT((A16-1)/4)+1</x:f>
        <x:v>3</x:v>
      </x:c>
      <x:c r="C16" t="n">
        <x:f>MOD(A16-1,4)+1</x:f>
        <x:v>4</x:v>
      </x:c>
      <x:c r="D16" t="n">
        <x:f>INDEX(Dataset!$B$5:$B$8,C16)</x:f>
        <x:v>1</x:v>
      </x:c>
      <x:c r="E16" t="n">
        <x:f>INDEX(Dataset!$C$5:$C$8,C16)</x:f>
        <x:v>1</x:v>
      </x:c>
      <x:c r="F16" t="n">
        <x:f>INDEX(Dataset!$D$5:$D$8,C16)</x:f>
        <x:v>1</x:v>
      </x:c>
      <x:c r="G16" t="n">
        <x:f>M15</x:f>
        <x:v>0.1</x:v>
      </x:c>
      <x:c r="H16" t="n">
        <x:f>N15</x:f>
        <x:v>0.1</x:v>
      </x:c>
      <x:c r="I16" t="n">
        <x:f>O15</x:f>
        <x:v>-0.1</x:v>
      </x:c>
      <x:c r="J16" t="n">
        <x:f>G16*D16+H16*E16+I16</x:f>
        <x:v>0.1</x:v>
      </x:c>
      <x:c r="K16" t="n">
        <x:f>IF(J16&gt;=0,1,-1)</x:f>
        <x:v>1</x:v>
      </x:c>
      <x:c r="L16" t="n">
        <x:f>IF(K16=F16,0,1)</x:f>
        <x:v>0</x:v>
      </x:c>
      <x:c r="M16" t="n">
        <x:f>G16+Parameters!$B$5*F16*D16*L16</x:f>
        <x:v>0.1</x:v>
      </x:c>
      <x:c r="N16" t="n">
        <x:f>H16+Parameters!$B$5*F16*E16*L16</x:f>
        <x:v>0.1</x:v>
      </x:c>
      <x:c r="O16" t="n">
        <x:f>I16+Parameters!$B$5*F16*L16</x:f>
        <x:v>-0.1</x:v>
      </x:c>
    </x:row>
    <x:row r="17">
      <x:c r="A17" t="n">
        <x:f>13</x:f>
        <x:v>13</x:v>
      </x:c>
      <x:c r="B17" t="n">
        <x:f>INT((A17-1)/4)+1</x:f>
        <x:v>4</x:v>
      </x:c>
      <x:c r="C17" t="n">
        <x:f>MOD(A17-1,4)+1</x:f>
        <x:v>1</x:v>
      </x:c>
      <x:c r="D17" t="n">
        <x:f>INDEX(Dataset!$B$5:$B$8,C17)</x:f>
        <x:v>-1</x:v>
      </x:c>
      <x:c r="E17" t="n">
        <x:f>INDEX(Dataset!$C$5:$C$8,C17)</x:f>
        <x:v>-1</x:v>
      </x:c>
      <x:c r="F17" t="n">
        <x:f>INDEX(Dataset!$D$5:$D$8,C17)</x:f>
        <x:v>-1</x:v>
      </x:c>
      <x:c r="G17" t="n">
        <x:f>M16</x:f>
        <x:v>0.1</x:v>
      </x:c>
      <x:c r="H17" t="n">
        <x:f>N16</x:f>
        <x:v>0.1</x:v>
      </x:c>
      <x:c r="I17" t="n">
        <x:f>O16</x:f>
        <x:v>-0.1</x:v>
      </x:c>
      <x:c r="J17" t="n">
        <x:f>G17*D17+H17*E17+I17</x:f>
        <x:v>-0.30000000000000004</x:v>
      </x:c>
      <x:c r="K17" t="n">
        <x:f>IF(J17&gt;=0,1,-1)</x:f>
        <x:v>-1</x:v>
      </x:c>
      <x:c r="L17" t="n">
        <x:f>IF(K17=F17,0,1)</x:f>
        <x:v>0</x:v>
      </x:c>
      <x:c r="M17" t="n">
        <x:f>G17+Parameters!$B$5*F17*D17*L17</x:f>
        <x:v>0.1</x:v>
      </x:c>
      <x:c r="N17" t="n">
        <x:f>H17+Parameters!$B$5*F17*E17*L17</x:f>
        <x:v>0.1</x:v>
      </x:c>
      <x:c r="O17" t="n">
        <x:f>I17+Parameters!$B$5*F17*L17</x:f>
        <x:v>-0.1</x:v>
      </x:c>
    </x:row>
    <x:row r="18">
      <x:c r="A18" t="n">
        <x:f>14</x:f>
        <x:v>14</x:v>
      </x:c>
      <x:c r="B18" t="n">
        <x:f>INT((A18-1)/4)+1</x:f>
        <x:v>4</x:v>
      </x:c>
      <x:c r="C18" t="n">
        <x:f>MOD(A18-1,4)+1</x:f>
        <x:v>2</x:v>
      </x:c>
      <x:c r="D18" t="n">
        <x:f>INDEX(Dataset!$B$5:$B$8,C18)</x:f>
        <x:v>-1</x:v>
      </x:c>
      <x:c r="E18" t="n">
        <x:f>INDEX(Dataset!$C$5:$C$8,C18)</x:f>
        <x:v>1</x:v>
      </x:c>
      <x:c r="F18" t="n">
        <x:f>INDEX(Dataset!$D$5:$D$8,C18)</x:f>
        <x:v>-1</x:v>
      </x:c>
      <x:c r="G18" t="n">
        <x:f>M17</x:f>
        <x:v>0.1</x:v>
      </x:c>
      <x:c r="H18" t="n">
        <x:f>N17</x:f>
        <x:v>0.1</x:v>
      </x:c>
      <x:c r="I18" t="n">
        <x:f>O17</x:f>
        <x:v>-0.1</x:v>
      </x:c>
      <x:c r="J18" t="n">
        <x:f>G18*D18+H18*E18+I18</x:f>
        <x:v>-0.1</x:v>
      </x:c>
      <x:c r="K18" t="n">
        <x:f>IF(J18&gt;=0,1,-1)</x:f>
        <x:v>-1</x:v>
      </x:c>
      <x:c r="L18" t="n">
        <x:f>IF(K18=F18,0,1)</x:f>
        <x:v>0</x:v>
      </x:c>
      <x:c r="M18" t="n">
        <x:f>G18+Parameters!$B$5*F18*D18*L18</x:f>
        <x:v>0.1</x:v>
      </x:c>
      <x:c r="N18" t="n">
        <x:f>H18+Parameters!$B$5*F18*E18*L18</x:f>
        <x:v>0.1</x:v>
      </x:c>
      <x:c r="O18" t="n">
        <x:f>I18+Parameters!$B$5*F18*L18</x:f>
        <x:v>-0.1</x:v>
      </x:c>
    </x:row>
    <x:row r="19">
      <x:c r="A19" t="n">
        <x:f>15</x:f>
        <x:v>15</x:v>
      </x:c>
      <x:c r="B19" t="n">
        <x:f>INT((A19-1)/4)+1</x:f>
        <x:v>4</x:v>
      </x:c>
      <x:c r="C19" t="n">
        <x:f>MOD(A19-1,4)+1</x:f>
        <x:v>3</x:v>
      </x:c>
      <x:c r="D19" t="n">
        <x:f>INDEX(Dataset!$B$5:$B$8,C19)</x:f>
        <x:v>1</x:v>
      </x:c>
      <x:c r="E19" t="n">
        <x:f>INDEX(Dataset!$C$5:$C$8,C19)</x:f>
        <x:v>-1</x:v>
      </x:c>
      <x:c r="F19" t="n">
        <x:f>INDEX(Dataset!$D$5:$D$8,C19)</x:f>
        <x:v>-1</x:v>
      </x:c>
      <x:c r="G19" t="n">
        <x:f>M18</x:f>
        <x:v>0.1</x:v>
      </x:c>
      <x:c r="H19" t="n">
        <x:f>N18</x:f>
        <x:v>0.1</x:v>
      </x:c>
      <x:c r="I19" t="n">
        <x:f>O18</x:f>
        <x:v>-0.1</x:v>
      </x:c>
      <x:c r="J19" t="n">
        <x:f>G19*D19+H19*E19+I19</x:f>
        <x:v>-0.1</x:v>
      </x:c>
      <x:c r="K19" t="n">
        <x:f>IF(J19&gt;=0,1,-1)</x:f>
        <x:v>-1</x:v>
      </x:c>
      <x:c r="L19" t="n">
        <x:f>IF(K19=F19,0,1)</x:f>
        <x:v>0</x:v>
      </x:c>
      <x:c r="M19" t="n">
        <x:f>G19+Parameters!$B$5*F19*D19*L19</x:f>
        <x:v>0.1</x:v>
      </x:c>
      <x:c r="N19" t="n">
        <x:f>H19+Parameters!$B$5*F19*E19*L19</x:f>
        <x:v>0.1</x:v>
      </x:c>
      <x:c r="O19" t="n">
        <x:f>I19+Parameters!$B$5*F19*L19</x:f>
        <x:v>-0.1</x:v>
      </x:c>
    </x:row>
    <x:row r="20">
      <x:c r="A20" t="n">
        <x:f>16</x:f>
        <x:v>16</x:v>
      </x:c>
      <x:c r="B20" t="n">
        <x:f>INT((A20-1)/4)+1</x:f>
        <x:v>4</x:v>
      </x:c>
      <x:c r="C20" t="n">
        <x:f>MOD(A20-1,4)+1</x:f>
        <x:v>4</x:v>
      </x:c>
      <x:c r="D20" t="n">
        <x:f>INDEX(Dataset!$B$5:$B$8,C20)</x:f>
        <x:v>1</x:v>
      </x:c>
      <x:c r="E20" t="n">
        <x:f>INDEX(Dataset!$C$5:$C$8,C20)</x:f>
        <x:v>1</x:v>
      </x:c>
      <x:c r="F20" t="n">
        <x:f>INDEX(Dataset!$D$5:$D$8,C20)</x:f>
        <x:v>1</x:v>
      </x:c>
      <x:c r="G20" t="n">
        <x:f>M19</x:f>
        <x:v>0.1</x:v>
      </x:c>
      <x:c r="H20" t="n">
        <x:f>N19</x:f>
        <x:v>0.1</x:v>
      </x:c>
      <x:c r="I20" t="n">
        <x:f>O19</x:f>
        <x:v>-0.1</x:v>
      </x:c>
      <x:c r="J20" t="n">
        <x:f>G20*D20+H20*E20+I20</x:f>
        <x:v>0.1</x:v>
      </x:c>
      <x:c r="K20" t="n">
        <x:f>IF(J20&gt;=0,1,-1)</x:f>
        <x:v>1</x:v>
      </x:c>
      <x:c r="L20" t="n">
        <x:f>IF(K20=F20,0,1)</x:f>
        <x:v>0</x:v>
      </x:c>
      <x:c r="M20" t="n">
        <x:f>G20+Parameters!$B$5*F20*D20*L20</x:f>
        <x:v>0.1</x:v>
      </x:c>
      <x:c r="N20" t="n">
        <x:f>H20+Parameters!$B$5*F20*E20*L20</x:f>
        <x:v>0.1</x:v>
      </x:c>
      <x:c r="O20" t="n">
        <x:f>I20+Parameters!$B$5*F20*L20</x:f>
        <x:v>-0.1</x:v>
      </x:c>
    </x:row>
    <x:row r="21">
      <x:c r="A21" t="n">
        <x:f>17</x:f>
        <x:v>17</x:v>
      </x:c>
      <x:c r="B21" t="n">
        <x:f>INT((A21-1)/4)+1</x:f>
        <x:v>5</x:v>
      </x:c>
      <x:c r="C21" t="n">
        <x:f>MOD(A21-1,4)+1</x:f>
        <x:v>1</x:v>
      </x:c>
      <x:c r="D21" t="n">
        <x:f>INDEX(Dataset!$B$5:$B$8,C21)</x:f>
        <x:v>-1</x:v>
      </x:c>
      <x:c r="E21" t="n">
        <x:f>INDEX(Dataset!$C$5:$C$8,C21)</x:f>
        <x:v>-1</x:v>
      </x:c>
      <x:c r="F21" t="n">
        <x:f>INDEX(Dataset!$D$5:$D$8,C21)</x:f>
        <x:v>-1</x:v>
      </x:c>
      <x:c r="G21" t="n">
        <x:f>M20</x:f>
        <x:v>0.1</x:v>
      </x:c>
      <x:c r="H21" t="n">
        <x:f>N20</x:f>
        <x:v>0.1</x:v>
      </x:c>
      <x:c r="I21" t="n">
        <x:f>O20</x:f>
        <x:v>-0.1</x:v>
      </x:c>
      <x:c r="J21" t="n">
        <x:f>G21*D21+H21*E21+I21</x:f>
        <x:v>-0.30000000000000004</x:v>
      </x:c>
      <x:c r="K21" t="n">
        <x:f>IF(J21&gt;=0,1,-1)</x:f>
        <x:v>-1</x:v>
      </x:c>
      <x:c r="L21" t="n">
        <x:f>IF(K21=F21,0,1)</x:f>
        <x:v>0</x:v>
      </x:c>
      <x:c r="M21" t="n">
        <x:f>G21+Parameters!$B$5*F21*D21*L21</x:f>
        <x:v>0.1</x:v>
      </x:c>
      <x:c r="N21" t="n">
        <x:f>H21+Parameters!$B$5*F21*E21*L21</x:f>
        <x:v>0.1</x:v>
      </x:c>
      <x:c r="O21" t="n">
        <x:f>I21+Parameters!$B$5*F21*L21</x:f>
        <x:v>-0.1</x:v>
      </x:c>
    </x:row>
    <x:row r="22">
      <x:c r="A22" t="n">
        <x:f>18</x:f>
        <x:v>18</x:v>
      </x:c>
      <x:c r="B22" t="n">
        <x:f>INT((A22-1)/4)+1</x:f>
        <x:v>5</x:v>
      </x:c>
      <x:c r="C22" t="n">
        <x:f>MOD(A22-1,4)+1</x:f>
        <x:v>2</x:v>
      </x:c>
      <x:c r="D22" t="n">
        <x:f>INDEX(Dataset!$B$5:$B$8,C22)</x:f>
        <x:v>-1</x:v>
      </x:c>
      <x:c r="E22" t="n">
        <x:f>INDEX(Dataset!$C$5:$C$8,C22)</x:f>
        <x:v>1</x:v>
      </x:c>
      <x:c r="F22" t="n">
        <x:f>INDEX(Dataset!$D$5:$D$8,C22)</x:f>
        <x:v>-1</x:v>
      </x:c>
      <x:c r="G22" t="n">
        <x:f>M21</x:f>
        <x:v>0.1</x:v>
      </x:c>
      <x:c r="H22" t="n">
        <x:f>N21</x:f>
        <x:v>0.1</x:v>
      </x:c>
      <x:c r="I22" t="n">
        <x:f>O21</x:f>
        <x:v>-0.1</x:v>
      </x:c>
      <x:c r="J22" t="n">
        <x:f>G22*D22+H22*E22+I22</x:f>
        <x:v>-0.1</x:v>
      </x:c>
      <x:c r="K22" t="n">
        <x:f>IF(J22&gt;=0,1,-1)</x:f>
        <x:v>-1</x:v>
      </x:c>
      <x:c r="L22" t="n">
        <x:f>IF(K22=F22,0,1)</x:f>
        <x:v>0</x:v>
      </x:c>
      <x:c r="M22" t="n">
        <x:f>G22+Parameters!$B$5*F22*D22*L22</x:f>
        <x:v>0.1</x:v>
      </x:c>
      <x:c r="N22" t="n">
        <x:f>H22+Parameters!$B$5*F22*E22*L22</x:f>
        <x:v>0.1</x:v>
      </x:c>
      <x:c r="O22" t="n">
        <x:f>I22+Parameters!$B$5*F22*L22</x:f>
        <x:v>-0.1</x:v>
      </x:c>
    </x:row>
    <x:row r="23">
      <x:c r="A23" t="n">
        <x:f>19</x:f>
        <x:v>19</x:v>
      </x:c>
      <x:c r="B23" t="n">
        <x:f>INT((A23-1)/4)+1</x:f>
        <x:v>5</x:v>
      </x:c>
      <x:c r="C23" t="n">
        <x:f>MOD(A23-1,4)+1</x:f>
        <x:v>3</x:v>
      </x:c>
      <x:c r="D23" t="n">
        <x:f>INDEX(Dataset!$B$5:$B$8,C23)</x:f>
        <x:v>1</x:v>
      </x:c>
      <x:c r="E23" t="n">
        <x:f>INDEX(Dataset!$C$5:$C$8,C23)</x:f>
        <x:v>-1</x:v>
      </x:c>
      <x:c r="F23" t="n">
        <x:f>INDEX(Dataset!$D$5:$D$8,C23)</x:f>
        <x:v>-1</x:v>
      </x:c>
      <x:c r="G23" t="n">
        <x:f>M22</x:f>
        <x:v>0.1</x:v>
      </x:c>
      <x:c r="H23" t="n">
        <x:f>N22</x:f>
        <x:v>0.1</x:v>
      </x:c>
      <x:c r="I23" t="n">
        <x:f>O22</x:f>
        <x:v>-0.1</x:v>
      </x:c>
      <x:c r="J23" t="n">
        <x:f>G23*D23+H23*E23+I23</x:f>
        <x:v>-0.1</x:v>
      </x:c>
      <x:c r="K23" t="n">
        <x:f>IF(J23&gt;=0,1,-1)</x:f>
        <x:v>-1</x:v>
      </x:c>
      <x:c r="L23" t="n">
        <x:f>IF(K23=F23,0,1)</x:f>
        <x:v>0</x:v>
      </x:c>
      <x:c r="M23" t="n">
        <x:f>G23+Parameters!$B$5*F23*D23*L23</x:f>
        <x:v>0.1</x:v>
      </x:c>
      <x:c r="N23" t="n">
        <x:f>H23+Parameters!$B$5*F23*E23*L23</x:f>
        <x:v>0.1</x:v>
      </x:c>
      <x:c r="O23" t="n">
        <x:f>I23+Parameters!$B$5*F23*L23</x:f>
        <x:v>-0.1</x:v>
      </x:c>
    </x:row>
    <x:row r="24">
      <x:c r="A24" t="n">
        <x:f>20</x:f>
        <x:v>20</x:v>
      </x:c>
      <x:c r="B24" t="n">
        <x:f>INT((A24-1)/4)+1</x:f>
        <x:v>5</x:v>
      </x:c>
      <x:c r="C24" t="n">
        <x:f>MOD(A24-1,4)+1</x:f>
        <x:v>4</x:v>
      </x:c>
      <x:c r="D24" t="n">
        <x:f>INDEX(Dataset!$B$5:$B$8,C24)</x:f>
        <x:v>1</x:v>
      </x:c>
      <x:c r="E24" t="n">
        <x:f>INDEX(Dataset!$C$5:$C$8,C24)</x:f>
        <x:v>1</x:v>
      </x:c>
      <x:c r="F24" t="n">
        <x:f>INDEX(Dataset!$D$5:$D$8,C24)</x:f>
        <x:v>1</x:v>
      </x:c>
      <x:c r="G24" t="n">
        <x:f>M23</x:f>
        <x:v>0.1</x:v>
      </x:c>
      <x:c r="H24" t="n">
        <x:f>N23</x:f>
        <x:v>0.1</x:v>
      </x:c>
      <x:c r="I24" t="n">
        <x:f>O23</x:f>
        <x:v>-0.1</x:v>
      </x:c>
      <x:c r="J24" t="n">
        <x:f>G24*D24+H24*E24+I24</x:f>
        <x:v>0.1</x:v>
      </x:c>
      <x:c r="K24" t="n">
        <x:f>IF(J24&gt;=0,1,-1)</x:f>
        <x:v>1</x:v>
      </x:c>
      <x:c r="L24" t="n">
        <x:f>IF(K24=F24,0,1)</x:f>
        <x:v>0</x:v>
      </x:c>
      <x:c r="M24" t="n">
        <x:f>G24+Parameters!$B$5*F24*D24*L24</x:f>
        <x:v>0.1</x:v>
      </x:c>
      <x:c r="N24" t="n">
        <x:f>H24+Parameters!$B$5*F24*E24*L24</x:f>
        <x:v>0.1</x:v>
      </x:c>
      <x:c r="O24" t="n">
        <x:f>I24+Parameters!$B$5*F24*L24</x:f>
        <x:v>-0.1</x:v>
      </x:c>
    </x:row>
    <x:row r="25">
      <x:c r="A25" t="n">
        <x:f>21</x:f>
        <x:v>21</x:v>
      </x:c>
      <x:c r="B25" t="n">
        <x:f>INT((A25-1)/4)+1</x:f>
        <x:v>6</x:v>
      </x:c>
      <x:c r="C25" t="n">
        <x:f>MOD(A25-1,4)+1</x:f>
        <x:v>1</x:v>
      </x:c>
      <x:c r="D25" t="n">
        <x:f>INDEX(Dataset!$B$5:$B$8,C25)</x:f>
        <x:v>-1</x:v>
      </x:c>
      <x:c r="E25" t="n">
        <x:f>INDEX(Dataset!$C$5:$C$8,C25)</x:f>
        <x:v>-1</x:v>
      </x:c>
      <x:c r="F25" t="n">
        <x:f>INDEX(Dataset!$D$5:$D$8,C25)</x:f>
        <x:v>-1</x:v>
      </x:c>
      <x:c r="G25" t="n">
        <x:f>M24</x:f>
        <x:v>0.1</x:v>
      </x:c>
      <x:c r="H25" t="n">
        <x:f>N24</x:f>
        <x:v>0.1</x:v>
      </x:c>
      <x:c r="I25" t="n">
        <x:f>O24</x:f>
        <x:v>-0.1</x:v>
      </x:c>
      <x:c r="J25" t="n">
        <x:f>G25*D25+H25*E25+I25</x:f>
        <x:v>-0.30000000000000004</x:v>
      </x:c>
      <x:c r="K25" t="n">
        <x:f>IF(J25&gt;=0,1,-1)</x:f>
        <x:v>-1</x:v>
      </x:c>
      <x:c r="L25" t="n">
        <x:f>IF(K25=F25,0,1)</x:f>
        <x:v>0</x:v>
      </x:c>
      <x:c r="M25" t="n">
        <x:f>G25+Parameters!$B$5*F25*D25*L25</x:f>
        <x:v>0.1</x:v>
      </x:c>
      <x:c r="N25" t="n">
        <x:f>H25+Parameters!$B$5*F25*E25*L25</x:f>
        <x:v>0.1</x:v>
      </x:c>
      <x:c r="O25" t="n">
        <x:f>I25+Parameters!$B$5*F25*L25</x:f>
        <x:v>-0.1</x:v>
      </x:c>
    </x:row>
    <x:row r="26">
      <x:c r="A26" t="n">
        <x:f>22</x:f>
        <x:v>22</x:v>
      </x:c>
      <x:c r="B26" t="n">
        <x:f>INT((A26-1)/4)+1</x:f>
        <x:v>6</x:v>
      </x:c>
      <x:c r="C26" t="n">
        <x:f>MOD(A26-1,4)+1</x:f>
        <x:v>2</x:v>
      </x:c>
      <x:c r="D26" t="n">
        <x:f>INDEX(Dataset!$B$5:$B$8,C26)</x:f>
        <x:v>-1</x:v>
      </x:c>
      <x:c r="E26" t="n">
        <x:f>INDEX(Dataset!$C$5:$C$8,C26)</x:f>
        <x:v>1</x:v>
      </x:c>
      <x:c r="F26" t="n">
        <x:f>INDEX(Dataset!$D$5:$D$8,C26)</x:f>
        <x:v>-1</x:v>
      </x:c>
      <x:c r="G26" t="n">
        <x:f>M25</x:f>
        <x:v>0.1</x:v>
      </x:c>
      <x:c r="H26" t="n">
        <x:f>N25</x:f>
        <x:v>0.1</x:v>
      </x:c>
      <x:c r="I26" t="n">
        <x:f>O25</x:f>
        <x:v>-0.1</x:v>
      </x:c>
      <x:c r="J26" t="n">
        <x:f>G26*D26+H26*E26+I26</x:f>
        <x:v>-0.1</x:v>
      </x:c>
      <x:c r="K26" t="n">
        <x:f>IF(J26&gt;=0,1,-1)</x:f>
        <x:v>-1</x:v>
      </x:c>
      <x:c r="L26" t="n">
        <x:f>IF(K26=F26,0,1)</x:f>
        <x:v>0</x:v>
      </x:c>
      <x:c r="M26" t="n">
        <x:f>G26+Parameters!$B$5*F26*D26*L26</x:f>
        <x:v>0.1</x:v>
      </x:c>
      <x:c r="N26" t="n">
        <x:f>H26+Parameters!$B$5*F26*E26*L26</x:f>
        <x:v>0.1</x:v>
      </x:c>
      <x:c r="O26" t="n">
        <x:f>I26+Parameters!$B$5*F26*L26</x:f>
        <x:v>-0.1</x:v>
      </x:c>
    </x:row>
    <x:row r="27">
      <x:c r="A27" t="n">
        <x:f>23</x:f>
        <x:v>23</x:v>
      </x:c>
      <x:c r="B27" t="n">
        <x:f>INT((A27-1)/4)+1</x:f>
        <x:v>6</x:v>
      </x:c>
      <x:c r="C27" t="n">
        <x:f>MOD(A27-1,4)+1</x:f>
        <x:v>3</x:v>
      </x:c>
      <x:c r="D27" t="n">
        <x:f>INDEX(Dataset!$B$5:$B$8,C27)</x:f>
        <x:v>1</x:v>
      </x:c>
      <x:c r="E27" t="n">
        <x:f>INDEX(Dataset!$C$5:$C$8,C27)</x:f>
        <x:v>-1</x:v>
      </x:c>
      <x:c r="F27" t="n">
        <x:f>INDEX(Dataset!$D$5:$D$8,C27)</x:f>
        <x:v>-1</x:v>
      </x:c>
      <x:c r="G27" t="n">
        <x:f>M26</x:f>
        <x:v>0.1</x:v>
      </x:c>
      <x:c r="H27" t="n">
        <x:f>N26</x:f>
        <x:v>0.1</x:v>
      </x:c>
      <x:c r="I27" t="n">
        <x:f>O26</x:f>
        <x:v>-0.1</x:v>
      </x:c>
      <x:c r="J27" t="n">
        <x:f>G27*D27+H27*E27+I27</x:f>
        <x:v>-0.1</x:v>
      </x:c>
      <x:c r="K27" t="n">
        <x:f>IF(J27&gt;=0,1,-1)</x:f>
        <x:v>-1</x:v>
      </x:c>
      <x:c r="L27" t="n">
        <x:f>IF(K27=F27,0,1)</x:f>
        <x:v>0</x:v>
      </x:c>
      <x:c r="M27" t="n">
        <x:f>G27+Parameters!$B$5*F27*D27*L27</x:f>
        <x:v>0.1</x:v>
      </x:c>
      <x:c r="N27" t="n">
        <x:f>H27+Parameters!$B$5*F27*E27*L27</x:f>
        <x:v>0.1</x:v>
      </x:c>
      <x:c r="O27" t="n">
        <x:f>I27+Parameters!$B$5*F27*L27</x:f>
        <x:v>-0.1</x:v>
      </x:c>
    </x:row>
    <x:row r="28">
      <x:c r="A28" t="n">
        <x:f>24</x:f>
        <x:v>24</x:v>
      </x:c>
      <x:c r="B28" t="n">
        <x:f>INT((A28-1)/4)+1</x:f>
        <x:v>6</x:v>
      </x:c>
      <x:c r="C28" t="n">
        <x:f>MOD(A28-1,4)+1</x:f>
        <x:v>4</x:v>
      </x:c>
      <x:c r="D28" t="n">
        <x:f>INDEX(Dataset!$B$5:$B$8,C28)</x:f>
        <x:v>1</x:v>
      </x:c>
      <x:c r="E28" t="n">
        <x:f>INDEX(Dataset!$C$5:$C$8,C28)</x:f>
        <x:v>1</x:v>
      </x:c>
      <x:c r="F28" t="n">
        <x:f>INDEX(Dataset!$D$5:$D$8,C28)</x:f>
        <x:v>1</x:v>
      </x:c>
      <x:c r="G28" t="n">
        <x:f>M27</x:f>
        <x:v>0.1</x:v>
      </x:c>
      <x:c r="H28" t="n">
        <x:f>N27</x:f>
        <x:v>0.1</x:v>
      </x:c>
      <x:c r="I28" t="n">
        <x:f>O27</x:f>
        <x:v>-0.1</x:v>
      </x:c>
      <x:c r="J28" t="n">
        <x:f>G28*D28+H28*E28+I28</x:f>
        <x:v>0.1</x:v>
      </x:c>
      <x:c r="K28" t="n">
        <x:f>IF(J28&gt;=0,1,-1)</x:f>
        <x:v>1</x:v>
      </x:c>
      <x:c r="L28" t="n">
        <x:f>IF(K28=F28,0,1)</x:f>
        <x:v>0</x:v>
      </x:c>
      <x:c r="M28" t="n">
        <x:f>G28+Parameters!$B$5*F28*D28*L28</x:f>
        <x:v>0.1</x:v>
      </x:c>
      <x:c r="N28" t="n">
        <x:f>H28+Parameters!$B$5*F28*E28*L28</x:f>
        <x:v>0.1</x:v>
      </x:c>
      <x:c r="O28" t="n">
        <x:f>I28+Parameters!$B$5*F28*L28</x:f>
        <x:v>-0.1</x:v>
      </x:c>
    </x:row>
    <x:row r="29">
      <x:c r="A29" t="n">
        <x:f>25</x:f>
        <x:v>25</x:v>
      </x:c>
      <x:c r="B29" t="n">
        <x:f>INT((A29-1)/4)+1</x:f>
        <x:v>7</x:v>
      </x:c>
      <x:c r="C29" t="n">
        <x:f>MOD(A29-1,4)+1</x:f>
        <x:v>1</x:v>
      </x:c>
      <x:c r="D29" t="n">
        <x:f>INDEX(Dataset!$B$5:$B$8,C29)</x:f>
        <x:v>-1</x:v>
      </x:c>
      <x:c r="E29" t="n">
        <x:f>INDEX(Dataset!$C$5:$C$8,C29)</x:f>
        <x:v>-1</x:v>
      </x:c>
      <x:c r="F29" t="n">
        <x:f>INDEX(Dataset!$D$5:$D$8,C29)</x:f>
        <x:v>-1</x:v>
      </x:c>
      <x:c r="G29" t="n">
        <x:f>M28</x:f>
        <x:v>0.1</x:v>
      </x:c>
      <x:c r="H29" t="n">
        <x:f>N28</x:f>
        <x:v>0.1</x:v>
      </x:c>
      <x:c r="I29" t="n">
        <x:f>O28</x:f>
        <x:v>-0.1</x:v>
      </x:c>
      <x:c r="J29" t="n">
        <x:f>G29*D29+H29*E29+I29</x:f>
        <x:v>-0.30000000000000004</x:v>
      </x:c>
      <x:c r="K29" t="n">
        <x:f>IF(J29&gt;=0,1,-1)</x:f>
        <x:v>-1</x:v>
      </x:c>
      <x:c r="L29" t="n">
        <x:f>IF(K29=F29,0,1)</x:f>
        <x:v>0</x:v>
      </x:c>
      <x:c r="M29" t="n">
        <x:f>G29+Parameters!$B$5*F29*D29*L29</x:f>
        <x:v>0.1</x:v>
      </x:c>
      <x:c r="N29" t="n">
        <x:f>H29+Parameters!$B$5*F29*E29*L29</x:f>
        <x:v>0.1</x:v>
      </x:c>
      <x:c r="O29" t="n">
        <x:f>I29+Parameters!$B$5*F29*L29</x:f>
        <x:v>-0.1</x:v>
      </x:c>
    </x:row>
    <x:row r="30">
      <x:c r="A30" t="n">
        <x:f>26</x:f>
        <x:v>26</x:v>
      </x:c>
      <x:c r="B30" t="n">
        <x:f>INT((A30-1)/4)+1</x:f>
        <x:v>7</x:v>
      </x:c>
      <x:c r="C30" t="n">
        <x:f>MOD(A30-1,4)+1</x:f>
        <x:v>2</x:v>
      </x:c>
      <x:c r="D30" t="n">
        <x:f>INDEX(Dataset!$B$5:$B$8,C30)</x:f>
        <x:v>-1</x:v>
      </x:c>
      <x:c r="E30" t="n">
        <x:f>INDEX(Dataset!$C$5:$C$8,C30)</x:f>
        <x:v>1</x:v>
      </x:c>
      <x:c r="F30" t="n">
        <x:f>INDEX(Dataset!$D$5:$D$8,C30)</x:f>
        <x:v>-1</x:v>
      </x:c>
      <x:c r="G30" t="n">
        <x:f>M29</x:f>
        <x:v>0.1</x:v>
      </x:c>
      <x:c r="H30" t="n">
        <x:f>N29</x:f>
        <x:v>0.1</x:v>
      </x:c>
      <x:c r="I30" t="n">
        <x:f>O29</x:f>
        <x:v>-0.1</x:v>
      </x:c>
      <x:c r="J30" t="n">
        <x:f>G30*D30+H30*E30+I30</x:f>
        <x:v>-0.1</x:v>
      </x:c>
      <x:c r="K30" t="n">
        <x:f>IF(J30&gt;=0,1,-1)</x:f>
        <x:v>-1</x:v>
      </x:c>
      <x:c r="L30" t="n">
        <x:f>IF(K30=F30,0,1)</x:f>
        <x:v>0</x:v>
      </x:c>
      <x:c r="M30" t="n">
        <x:f>G30+Parameters!$B$5*F30*D30*L30</x:f>
        <x:v>0.1</x:v>
      </x:c>
      <x:c r="N30" t="n">
        <x:f>H30+Parameters!$B$5*F30*E30*L30</x:f>
        <x:v>0.1</x:v>
      </x:c>
      <x:c r="O30" t="n">
        <x:f>I30+Parameters!$B$5*F30*L30</x:f>
        <x:v>-0.1</x:v>
      </x:c>
    </x:row>
    <x:row r="31">
      <x:c r="A31" t="n">
        <x:f>27</x:f>
        <x:v>27</x:v>
      </x:c>
      <x:c r="B31" t="n">
        <x:f>INT((A31-1)/4)+1</x:f>
        <x:v>7</x:v>
      </x:c>
      <x:c r="C31" t="n">
        <x:f>MOD(A31-1,4)+1</x:f>
        <x:v>3</x:v>
      </x:c>
      <x:c r="D31" t="n">
        <x:f>INDEX(Dataset!$B$5:$B$8,C31)</x:f>
        <x:v>1</x:v>
      </x:c>
      <x:c r="E31" t="n">
        <x:f>INDEX(Dataset!$C$5:$C$8,C31)</x:f>
        <x:v>-1</x:v>
      </x:c>
      <x:c r="F31" t="n">
        <x:f>INDEX(Dataset!$D$5:$D$8,C31)</x:f>
        <x:v>-1</x:v>
      </x:c>
      <x:c r="G31" t="n">
        <x:f>M30</x:f>
        <x:v>0.1</x:v>
      </x:c>
      <x:c r="H31" t="n">
        <x:f>N30</x:f>
        <x:v>0.1</x:v>
      </x:c>
      <x:c r="I31" t="n">
        <x:f>O30</x:f>
        <x:v>-0.1</x:v>
      </x:c>
      <x:c r="J31" t="n">
        <x:f>G31*D31+H31*E31+I31</x:f>
        <x:v>-0.1</x:v>
      </x:c>
      <x:c r="K31" t="n">
        <x:f>IF(J31&gt;=0,1,-1)</x:f>
        <x:v>-1</x:v>
      </x:c>
      <x:c r="L31" t="n">
        <x:f>IF(K31=F31,0,1)</x:f>
        <x:v>0</x:v>
      </x:c>
      <x:c r="M31" t="n">
        <x:f>G31+Parameters!$B$5*F31*D31*L31</x:f>
        <x:v>0.1</x:v>
      </x:c>
      <x:c r="N31" t="n">
        <x:f>H31+Parameters!$B$5*F31*E31*L31</x:f>
        <x:v>0.1</x:v>
      </x:c>
      <x:c r="O31" t="n">
        <x:f>I31+Parameters!$B$5*F31*L31</x:f>
        <x:v>-0.1</x:v>
      </x:c>
    </x:row>
    <x:row r="32">
      <x:c r="A32" t="n">
        <x:f>28</x:f>
        <x:v>28</x:v>
      </x:c>
      <x:c r="B32" t="n">
        <x:f>INT((A32-1)/4)+1</x:f>
        <x:v>7</x:v>
      </x:c>
      <x:c r="C32" t="n">
        <x:f>MOD(A32-1,4)+1</x:f>
        <x:v>4</x:v>
      </x:c>
      <x:c r="D32" t="n">
        <x:f>INDEX(Dataset!$B$5:$B$8,C32)</x:f>
        <x:v>1</x:v>
      </x:c>
      <x:c r="E32" t="n">
        <x:f>INDEX(Dataset!$C$5:$C$8,C32)</x:f>
        <x:v>1</x:v>
      </x:c>
      <x:c r="F32" t="n">
        <x:f>INDEX(Dataset!$D$5:$D$8,C32)</x:f>
        <x:v>1</x:v>
      </x:c>
      <x:c r="G32" t="n">
        <x:f>M31</x:f>
        <x:v>0.1</x:v>
      </x:c>
      <x:c r="H32" t="n">
        <x:f>N31</x:f>
        <x:v>0.1</x:v>
      </x:c>
      <x:c r="I32" t="n">
        <x:f>O31</x:f>
        <x:v>-0.1</x:v>
      </x:c>
      <x:c r="J32" t="n">
        <x:f>G32*D32+H32*E32+I32</x:f>
        <x:v>0.1</x:v>
      </x:c>
      <x:c r="K32" t="n">
        <x:f>IF(J32&gt;=0,1,-1)</x:f>
        <x:v>1</x:v>
      </x:c>
      <x:c r="L32" t="n">
        <x:f>IF(K32=F32,0,1)</x:f>
        <x:v>0</x:v>
      </x:c>
      <x:c r="M32" t="n">
        <x:f>G32+Parameters!$B$5*F32*D32*L32</x:f>
        <x:v>0.1</x:v>
      </x:c>
      <x:c r="N32" t="n">
        <x:f>H32+Parameters!$B$5*F32*E32*L32</x:f>
        <x:v>0.1</x:v>
      </x:c>
      <x:c r="O32" t="n">
        <x:f>I32+Parameters!$B$5*F32*L32</x:f>
        <x:v>-0.1</x:v>
      </x:c>
    </x:row>
    <x:row r="33">
      <x:c r="A33" t="n">
        <x:f>29</x:f>
        <x:v>29</x:v>
      </x:c>
      <x:c r="B33" t="n">
        <x:f>INT((A33-1)/4)+1</x:f>
        <x:v>8</x:v>
      </x:c>
      <x:c r="C33" t="n">
        <x:f>MOD(A33-1,4)+1</x:f>
        <x:v>1</x:v>
      </x:c>
      <x:c r="D33" t="n">
        <x:f>INDEX(Dataset!$B$5:$B$8,C33)</x:f>
        <x:v>-1</x:v>
      </x:c>
      <x:c r="E33" t="n">
        <x:f>INDEX(Dataset!$C$5:$C$8,C33)</x:f>
        <x:v>-1</x:v>
      </x:c>
      <x:c r="F33" t="n">
        <x:f>INDEX(Dataset!$D$5:$D$8,C33)</x:f>
        <x:v>-1</x:v>
      </x:c>
      <x:c r="G33" t="n">
        <x:f>M32</x:f>
        <x:v>0.1</x:v>
      </x:c>
      <x:c r="H33" t="n">
        <x:f>N32</x:f>
        <x:v>0.1</x:v>
      </x:c>
      <x:c r="I33" t="n">
        <x:f>O32</x:f>
        <x:v>-0.1</x:v>
      </x:c>
      <x:c r="J33" t="n">
        <x:f>G33*D33+H33*E33+I33</x:f>
        <x:v>-0.30000000000000004</x:v>
      </x:c>
      <x:c r="K33" t="n">
        <x:f>IF(J33&gt;=0,1,-1)</x:f>
        <x:v>-1</x:v>
      </x:c>
      <x:c r="L33" t="n">
        <x:f>IF(K33=F33,0,1)</x:f>
        <x:v>0</x:v>
      </x:c>
      <x:c r="M33" t="n">
        <x:f>G33+Parameters!$B$5*F33*D33*L33</x:f>
        <x:v>0.1</x:v>
      </x:c>
      <x:c r="N33" t="n">
        <x:f>H33+Parameters!$B$5*F33*E33*L33</x:f>
        <x:v>0.1</x:v>
      </x:c>
      <x:c r="O33" t="n">
        <x:f>I33+Parameters!$B$5*F33*L33</x:f>
        <x:v>-0.1</x:v>
      </x:c>
    </x:row>
    <x:row r="34">
      <x:c r="A34" t="n">
        <x:f>30</x:f>
        <x:v>30</x:v>
      </x:c>
      <x:c r="B34" t="n">
        <x:f>INT((A34-1)/4)+1</x:f>
        <x:v>8</x:v>
      </x:c>
      <x:c r="C34" t="n">
        <x:f>MOD(A34-1,4)+1</x:f>
        <x:v>2</x:v>
      </x:c>
      <x:c r="D34" t="n">
        <x:f>INDEX(Dataset!$B$5:$B$8,C34)</x:f>
        <x:v>-1</x:v>
      </x:c>
      <x:c r="E34" t="n">
        <x:f>INDEX(Dataset!$C$5:$C$8,C34)</x:f>
        <x:v>1</x:v>
      </x:c>
      <x:c r="F34" t="n">
        <x:f>INDEX(Dataset!$D$5:$D$8,C34)</x:f>
        <x:v>-1</x:v>
      </x:c>
      <x:c r="G34" t="n">
        <x:f>M33</x:f>
        <x:v>0.1</x:v>
      </x:c>
      <x:c r="H34" t="n">
        <x:f>N33</x:f>
        <x:v>0.1</x:v>
      </x:c>
      <x:c r="I34" t="n">
        <x:f>O33</x:f>
        <x:v>-0.1</x:v>
      </x:c>
      <x:c r="J34" t="n">
        <x:f>G34*D34+H34*E34+I34</x:f>
        <x:v>-0.1</x:v>
      </x:c>
      <x:c r="K34" t="n">
        <x:f>IF(J34&gt;=0,1,-1)</x:f>
        <x:v>-1</x:v>
      </x:c>
      <x:c r="L34" t="n">
        <x:f>IF(K34=F34,0,1)</x:f>
        <x:v>0</x:v>
      </x:c>
      <x:c r="M34" t="n">
        <x:f>G34+Parameters!$B$5*F34*D34*L34</x:f>
        <x:v>0.1</x:v>
      </x:c>
      <x:c r="N34" t="n">
        <x:f>H34+Parameters!$B$5*F34*E34*L34</x:f>
        <x:v>0.1</x:v>
      </x:c>
      <x:c r="O34" t="n">
        <x:f>I34+Parameters!$B$5*F34*L34</x:f>
        <x:v>-0.1</x:v>
      </x:c>
    </x:row>
    <x:row r="35">
      <x:c r="A35" t="n">
        <x:f>31</x:f>
        <x:v>31</x:v>
      </x:c>
      <x:c r="B35" t="n">
        <x:f>INT((A35-1)/4)+1</x:f>
        <x:v>8</x:v>
      </x:c>
      <x:c r="C35" t="n">
        <x:f>MOD(A35-1,4)+1</x:f>
        <x:v>3</x:v>
      </x:c>
      <x:c r="D35" t="n">
        <x:f>INDEX(Dataset!$B$5:$B$8,C35)</x:f>
        <x:v>1</x:v>
      </x:c>
      <x:c r="E35" t="n">
        <x:f>INDEX(Dataset!$C$5:$C$8,C35)</x:f>
        <x:v>-1</x:v>
      </x:c>
      <x:c r="F35" t="n">
        <x:f>INDEX(Dataset!$D$5:$D$8,C35)</x:f>
        <x:v>-1</x:v>
      </x:c>
      <x:c r="G35" t="n">
        <x:f>M34</x:f>
        <x:v>0.1</x:v>
      </x:c>
      <x:c r="H35" t="n">
        <x:f>N34</x:f>
        <x:v>0.1</x:v>
      </x:c>
      <x:c r="I35" t="n">
        <x:f>O34</x:f>
        <x:v>-0.1</x:v>
      </x:c>
      <x:c r="J35" t="n">
        <x:f>G35*D35+H35*E35+I35</x:f>
        <x:v>-0.1</x:v>
      </x:c>
      <x:c r="K35" t="n">
        <x:f>IF(J35&gt;=0,1,-1)</x:f>
        <x:v>-1</x:v>
      </x:c>
      <x:c r="L35" t="n">
        <x:f>IF(K35=F35,0,1)</x:f>
        <x:v>0</x:v>
      </x:c>
      <x:c r="M35" t="n">
        <x:f>G35+Parameters!$B$5*F35*D35*L35</x:f>
        <x:v>0.1</x:v>
      </x:c>
      <x:c r="N35" t="n">
        <x:f>H35+Parameters!$B$5*F35*E35*L35</x:f>
        <x:v>0.1</x:v>
      </x:c>
      <x:c r="O35" t="n">
        <x:f>I35+Parameters!$B$5*F35*L35</x:f>
        <x:v>-0.1</x:v>
      </x:c>
    </x:row>
    <x:row r="36">
      <x:c r="A36" t="n">
        <x:f>32</x:f>
        <x:v>32</x:v>
      </x:c>
      <x:c r="B36" t="n">
        <x:f>INT((A36-1)/4)+1</x:f>
        <x:v>8</x:v>
      </x:c>
      <x:c r="C36" t="n">
        <x:f>MOD(A36-1,4)+1</x:f>
        <x:v>4</x:v>
      </x:c>
      <x:c r="D36" t="n">
        <x:f>INDEX(Dataset!$B$5:$B$8,C36)</x:f>
        <x:v>1</x:v>
      </x:c>
      <x:c r="E36" t="n">
        <x:f>INDEX(Dataset!$C$5:$C$8,C36)</x:f>
        <x:v>1</x:v>
      </x:c>
      <x:c r="F36" t="n">
        <x:f>INDEX(Dataset!$D$5:$D$8,C36)</x:f>
        <x:v>1</x:v>
      </x:c>
      <x:c r="G36" t="n">
        <x:f>M35</x:f>
        <x:v>0.1</x:v>
      </x:c>
      <x:c r="H36" t="n">
        <x:f>N35</x:f>
        <x:v>0.1</x:v>
      </x:c>
      <x:c r="I36" t="n">
        <x:f>O35</x:f>
        <x:v>-0.1</x:v>
      </x:c>
      <x:c r="J36" t="n">
        <x:f>G36*D36+H36*E36+I36</x:f>
        <x:v>0.1</x:v>
      </x:c>
      <x:c r="K36" t="n">
        <x:f>IF(J36&gt;=0,1,-1)</x:f>
        <x:v>1</x:v>
      </x:c>
      <x:c r="L36" t="n">
        <x:f>IF(K36=F36,0,1)</x:f>
        <x:v>0</x:v>
      </x:c>
      <x:c r="M36" t="n">
        <x:f>G36+Parameters!$B$5*F36*D36*L36</x:f>
        <x:v>0.1</x:v>
      </x:c>
      <x:c r="N36" t="n">
        <x:f>H36+Parameters!$B$5*F36*E36*L36</x:f>
        <x:v>0.1</x:v>
      </x:c>
      <x:c r="O36" t="n">
        <x:f>I36+Parameters!$B$5*F36*L36</x:f>
        <x:v>-0.1</x:v>
      </x:c>
    </x:row>
    <x:row r="37">
      <x:c r="A37" t="n">
        <x:f>33</x:f>
        <x:v>33</x:v>
      </x:c>
      <x:c r="B37" t="n">
        <x:f>INT((A37-1)/4)+1</x:f>
        <x:v>9</x:v>
      </x:c>
      <x:c r="C37" t="n">
        <x:f>MOD(A37-1,4)+1</x:f>
        <x:v>1</x:v>
      </x:c>
      <x:c r="D37" t="n">
        <x:f>INDEX(Dataset!$B$5:$B$8,C37)</x:f>
        <x:v>-1</x:v>
      </x:c>
      <x:c r="E37" t="n">
        <x:f>INDEX(Dataset!$C$5:$C$8,C37)</x:f>
        <x:v>-1</x:v>
      </x:c>
      <x:c r="F37" t="n">
        <x:f>INDEX(Dataset!$D$5:$D$8,C37)</x:f>
        <x:v>-1</x:v>
      </x:c>
      <x:c r="G37" t="n">
        <x:f>M36</x:f>
        <x:v>0.1</x:v>
      </x:c>
      <x:c r="H37" t="n">
        <x:f>N36</x:f>
        <x:v>0.1</x:v>
      </x:c>
      <x:c r="I37" t="n">
        <x:f>O36</x:f>
        <x:v>-0.1</x:v>
      </x:c>
      <x:c r="J37" t="n">
        <x:f>G37*D37+H37*E37+I37</x:f>
        <x:v>-0.30000000000000004</x:v>
      </x:c>
      <x:c r="K37" t="n">
        <x:f>IF(J37&gt;=0,1,-1)</x:f>
        <x:v>-1</x:v>
      </x:c>
      <x:c r="L37" t="n">
        <x:f>IF(K37=F37,0,1)</x:f>
        <x:v>0</x:v>
      </x:c>
      <x:c r="M37" t="n">
        <x:f>G37+Parameters!$B$5*F37*D37*L37</x:f>
        <x:v>0.1</x:v>
      </x:c>
      <x:c r="N37" t="n">
        <x:f>H37+Parameters!$B$5*F37*E37*L37</x:f>
        <x:v>0.1</x:v>
      </x:c>
      <x:c r="O37" t="n">
        <x:f>I37+Parameters!$B$5*F37*L37</x:f>
        <x:v>-0.1</x:v>
      </x:c>
    </x:row>
    <x:row r="38">
      <x:c r="A38" t="n">
        <x:f>34</x:f>
        <x:v>34</x:v>
      </x:c>
      <x:c r="B38" t="n">
        <x:f>INT((A38-1)/4)+1</x:f>
        <x:v>9</x:v>
      </x:c>
      <x:c r="C38" t="n">
        <x:f>MOD(A38-1,4)+1</x:f>
        <x:v>2</x:v>
      </x:c>
      <x:c r="D38" t="n">
        <x:f>INDEX(Dataset!$B$5:$B$8,C38)</x:f>
        <x:v>-1</x:v>
      </x:c>
      <x:c r="E38" t="n">
        <x:f>INDEX(Dataset!$C$5:$C$8,C38)</x:f>
        <x:v>1</x:v>
      </x:c>
      <x:c r="F38" t="n">
        <x:f>INDEX(Dataset!$D$5:$D$8,C38)</x:f>
        <x:v>-1</x:v>
      </x:c>
      <x:c r="G38" t="n">
        <x:f>M37</x:f>
        <x:v>0.1</x:v>
      </x:c>
      <x:c r="H38" t="n">
        <x:f>N37</x:f>
        <x:v>0.1</x:v>
      </x:c>
      <x:c r="I38" t="n">
        <x:f>O37</x:f>
        <x:v>-0.1</x:v>
      </x:c>
      <x:c r="J38" t="n">
        <x:f>G38*D38+H38*E38+I38</x:f>
        <x:v>-0.1</x:v>
      </x:c>
      <x:c r="K38" t="n">
        <x:f>IF(J38&gt;=0,1,-1)</x:f>
        <x:v>-1</x:v>
      </x:c>
      <x:c r="L38" t="n">
        <x:f>IF(K38=F38,0,1)</x:f>
        <x:v>0</x:v>
      </x:c>
      <x:c r="M38" t="n">
        <x:f>G38+Parameters!$B$5*F38*D38*L38</x:f>
        <x:v>0.1</x:v>
      </x:c>
      <x:c r="N38" t="n">
        <x:f>H38+Parameters!$B$5*F38*E38*L38</x:f>
        <x:v>0.1</x:v>
      </x:c>
      <x:c r="O38" t="n">
        <x:f>I38+Parameters!$B$5*F38*L38</x:f>
        <x:v>-0.1</x:v>
      </x:c>
    </x:row>
    <x:row r="39">
      <x:c r="A39" t="n">
        <x:f>35</x:f>
        <x:v>35</x:v>
      </x:c>
      <x:c r="B39" t="n">
        <x:f>INT((A39-1)/4)+1</x:f>
        <x:v>9</x:v>
      </x:c>
      <x:c r="C39" t="n">
        <x:f>MOD(A39-1,4)+1</x:f>
        <x:v>3</x:v>
      </x:c>
      <x:c r="D39" t="n">
        <x:f>INDEX(Dataset!$B$5:$B$8,C39)</x:f>
        <x:v>1</x:v>
      </x:c>
      <x:c r="E39" t="n">
        <x:f>INDEX(Dataset!$C$5:$C$8,C39)</x:f>
        <x:v>-1</x:v>
      </x:c>
      <x:c r="F39" t="n">
        <x:f>INDEX(Dataset!$D$5:$D$8,C39)</x:f>
        <x:v>-1</x:v>
      </x:c>
      <x:c r="G39" t="n">
        <x:f>M38</x:f>
        <x:v>0.1</x:v>
      </x:c>
      <x:c r="H39" t="n">
        <x:f>N38</x:f>
        <x:v>0.1</x:v>
      </x:c>
      <x:c r="I39" t="n">
        <x:f>O38</x:f>
        <x:v>-0.1</x:v>
      </x:c>
      <x:c r="J39" t="n">
        <x:f>G39*D39+H39*E39+I39</x:f>
        <x:v>-0.1</x:v>
      </x:c>
      <x:c r="K39" t="n">
        <x:f>IF(J39&gt;=0,1,-1)</x:f>
        <x:v>-1</x:v>
      </x:c>
      <x:c r="L39" t="n">
        <x:f>IF(K39=F39,0,1)</x:f>
        <x:v>0</x:v>
      </x:c>
      <x:c r="M39" t="n">
        <x:f>G39+Parameters!$B$5*F39*D39*L39</x:f>
        <x:v>0.1</x:v>
      </x:c>
      <x:c r="N39" t="n">
        <x:f>H39+Parameters!$B$5*F39*E39*L39</x:f>
        <x:v>0.1</x:v>
      </x:c>
      <x:c r="O39" t="n">
        <x:f>I39+Parameters!$B$5*F39*L39</x:f>
        <x:v>-0.1</x:v>
      </x:c>
    </x:row>
    <x:row r="40">
      <x:c r="A40" t="n">
        <x:f>36</x:f>
        <x:v>36</x:v>
      </x:c>
      <x:c r="B40" t="n">
        <x:f>INT((A40-1)/4)+1</x:f>
        <x:v>9</x:v>
      </x:c>
      <x:c r="C40" t="n">
        <x:f>MOD(A40-1,4)+1</x:f>
        <x:v>4</x:v>
      </x:c>
      <x:c r="D40" t="n">
        <x:f>INDEX(Dataset!$B$5:$B$8,C40)</x:f>
        <x:v>1</x:v>
      </x:c>
      <x:c r="E40" t="n">
        <x:f>INDEX(Dataset!$C$5:$C$8,C40)</x:f>
        <x:v>1</x:v>
      </x:c>
      <x:c r="F40" t="n">
        <x:f>INDEX(Dataset!$D$5:$D$8,C40)</x:f>
        <x:v>1</x:v>
      </x:c>
      <x:c r="G40" t="n">
        <x:f>M39</x:f>
        <x:v>0.1</x:v>
      </x:c>
      <x:c r="H40" t="n">
        <x:f>N39</x:f>
        <x:v>0.1</x:v>
      </x:c>
      <x:c r="I40" t="n">
        <x:f>O39</x:f>
        <x:v>-0.1</x:v>
      </x:c>
      <x:c r="J40" t="n">
        <x:f>G40*D40+H40*E40+I40</x:f>
        <x:v>0.1</x:v>
      </x:c>
      <x:c r="K40" t="n">
        <x:f>IF(J40&gt;=0,1,-1)</x:f>
        <x:v>1</x:v>
      </x:c>
      <x:c r="L40" t="n">
        <x:f>IF(K40=F40,0,1)</x:f>
        <x:v>0</x:v>
      </x:c>
      <x:c r="M40" t="n">
        <x:f>G40+Parameters!$B$5*F40*D40*L40</x:f>
        <x:v>0.1</x:v>
      </x:c>
      <x:c r="N40" t="n">
        <x:f>H40+Parameters!$B$5*F40*E40*L40</x:f>
        <x:v>0.1</x:v>
      </x:c>
      <x:c r="O40" t="n">
        <x:f>I40+Parameters!$B$5*F40*L40</x:f>
        <x:v>-0.1</x:v>
      </x:c>
    </x:row>
    <x:row r="41">
      <x:c r="A41" t="n">
        <x:f>37</x:f>
        <x:v>37</x:v>
      </x:c>
      <x:c r="B41" t="n">
        <x:f>INT((A41-1)/4)+1</x:f>
        <x:v>10</x:v>
      </x:c>
      <x:c r="C41" t="n">
        <x:f>MOD(A41-1,4)+1</x:f>
        <x:v>1</x:v>
      </x:c>
      <x:c r="D41" t="n">
        <x:f>INDEX(Dataset!$B$5:$B$8,C41)</x:f>
        <x:v>-1</x:v>
      </x:c>
      <x:c r="E41" t="n">
        <x:f>INDEX(Dataset!$C$5:$C$8,C41)</x:f>
        <x:v>-1</x:v>
      </x:c>
      <x:c r="F41" t="n">
        <x:f>INDEX(Dataset!$D$5:$D$8,C41)</x:f>
        <x:v>-1</x:v>
      </x:c>
      <x:c r="G41" t="n">
        <x:f>M40</x:f>
        <x:v>0.1</x:v>
      </x:c>
      <x:c r="H41" t="n">
        <x:f>N40</x:f>
        <x:v>0.1</x:v>
      </x:c>
      <x:c r="I41" t="n">
        <x:f>O40</x:f>
        <x:v>-0.1</x:v>
      </x:c>
      <x:c r="J41" t="n">
        <x:f>G41*D41+H41*E41+I41</x:f>
        <x:v>-0.30000000000000004</x:v>
      </x:c>
      <x:c r="K41" t="n">
        <x:f>IF(J41&gt;=0,1,-1)</x:f>
        <x:v>-1</x:v>
      </x:c>
      <x:c r="L41" t="n">
        <x:f>IF(K41=F41,0,1)</x:f>
        <x:v>0</x:v>
      </x:c>
      <x:c r="M41" t="n">
        <x:f>G41+Parameters!$B$5*F41*D41*L41</x:f>
        <x:v>0.1</x:v>
      </x:c>
      <x:c r="N41" t="n">
        <x:f>H41+Parameters!$B$5*F41*E41*L41</x:f>
        <x:v>0.1</x:v>
      </x:c>
      <x:c r="O41" t="n">
        <x:f>I41+Parameters!$B$5*F41*L41</x:f>
        <x:v>-0.1</x:v>
      </x:c>
    </x:row>
    <x:row r="42">
      <x:c r="A42" t="n">
        <x:f>38</x:f>
        <x:v>38</x:v>
      </x:c>
      <x:c r="B42" t="n">
        <x:f>INT((A42-1)/4)+1</x:f>
        <x:v>10</x:v>
      </x:c>
      <x:c r="C42" t="n">
        <x:f>MOD(A42-1,4)+1</x:f>
        <x:v>2</x:v>
      </x:c>
      <x:c r="D42" t="n">
        <x:f>INDEX(Dataset!$B$5:$B$8,C42)</x:f>
        <x:v>-1</x:v>
      </x:c>
      <x:c r="E42" t="n">
        <x:f>INDEX(Dataset!$C$5:$C$8,C42)</x:f>
        <x:v>1</x:v>
      </x:c>
      <x:c r="F42" t="n">
        <x:f>INDEX(Dataset!$D$5:$D$8,C42)</x:f>
        <x:v>-1</x:v>
      </x:c>
      <x:c r="G42" t="n">
        <x:f>M41</x:f>
        <x:v>0.1</x:v>
      </x:c>
      <x:c r="H42" t="n">
        <x:f>N41</x:f>
        <x:v>0.1</x:v>
      </x:c>
      <x:c r="I42" t="n">
        <x:f>O41</x:f>
        <x:v>-0.1</x:v>
      </x:c>
      <x:c r="J42" t="n">
        <x:f>G42*D42+H42*E42+I42</x:f>
        <x:v>-0.1</x:v>
      </x:c>
      <x:c r="K42" t="n">
        <x:f>IF(J42&gt;=0,1,-1)</x:f>
        <x:v>-1</x:v>
      </x:c>
      <x:c r="L42" t="n">
        <x:f>IF(K42=F42,0,1)</x:f>
        <x:v>0</x:v>
      </x:c>
      <x:c r="M42" t="n">
        <x:f>G42+Parameters!$B$5*F42*D42*L42</x:f>
        <x:v>0.1</x:v>
      </x:c>
      <x:c r="N42" t="n">
        <x:f>H42+Parameters!$B$5*F42*E42*L42</x:f>
        <x:v>0.1</x:v>
      </x:c>
      <x:c r="O42" t="n">
        <x:f>I42+Parameters!$B$5*F42*L42</x:f>
        <x:v>-0.1</x:v>
      </x:c>
    </x:row>
    <x:row r="43">
      <x:c r="A43" t="n">
        <x:f>39</x:f>
        <x:v>39</x:v>
      </x:c>
      <x:c r="B43" t="n">
        <x:f>INT((A43-1)/4)+1</x:f>
        <x:v>10</x:v>
      </x:c>
      <x:c r="C43" t="n">
        <x:f>MOD(A43-1,4)+1</x:f>
        <x:v>3</x:v>
      </x:c>
      <x:c r="D43" t="n">
        <x:f>INDEX(Dataset!$B$5:$B$8,C43)</x:f>
        <x:v>1</x:v>
      </x:c>
      <x:c r="E43" t="n">
        <x:f>INDEX(Dataset!$C$5:$C$8,C43)</x:f>
        <x:v>-1</x:v>
      </x:c>
      <x:c r="F43" t="n">
        <x:f>INDEX(Dataset!$D$5:$D$8,C43)</x:f>
        <x:v>-1</x:v>
      </x:c>
      <x:c r="G43" t="n">
        <x:f>M42</x:f>
        <x:v>0.1</x:v>
      </x:c>
      <x:c r="H43" t="n">
        <x:f>N42</x:f>
        <x:v>0.1</x:v>
      </x:c>
      <x:c r="I43" t="n">
        <x:f>O42</x:f>
        <x:v>-0.1</x:v>
      </x:c>
      <x:c r="J43" t="n">
        <x:f>G43*D43+H43*E43+I43</x:f>
        <x:v>-0.1</x:v>
      </x:c>
      <x:c r="K43" t="n">
        <x:f>IF(J43&gt;=0,1,-1)</x:f>
        <x:v>-1</x:v>
      </x:c>
      <x:c r="L43" t="n">
        <x:f>IF(K43=F43,0,1)</x:f>
        <x:v>0</x:v>
      </x:c>
      <x:c r="M43" t="n">
        <x:f>G43+Parameters!$B$5*F43*D43*L43</x:f>
        <x:v>0.1</x:v>
      </x:c>
      <x:c r="N43" t="n">
        <x:f>H43+Parameters!$B$5*F43*E43*L43</x:f>
        <x:v>0.1</x:v>
      </x:c>
      <x:c r="O43" t="n">
        <x:f>I43+Parameters!$B$5*F43*L43</x:f>
        <x:v>-0.1</x:v>
      </x:c>
    </x:row>
    <x:row r="44">
      <x:c r="A44" t="n">
        <x:f>40</x:f>
        <x:v>40</x:v>
      </x:c>
      <x:c r="B44" t="n">
        <x:f>INT((A44-1)/4)+1</x:f>
        <x:v>10</x:v>
      </x:c>
      <x:c r="C44" t="n">
        <x:f>MOD(A44-1,4)+1</x:f>
        <x:v>4</x:v>
      </x:c>
      <x:c r="D44" t="n">
        <x:f>INDEX(Dataset!$B$5:$B$8,C44)</x:f>
        <x:v>1</x:v>
      </x:c>
      <x:c r="E44" t="n">
        <x:f>INDEX(Dataset!$C$5:$C$8,C44)</x:f>
        <x:v>1</x:v>
      </x:c>
      <x:c r="F44" t="n">
        <x:f>INDEX(Dataset!$D$5:$D$8,C44)</x:f>
        <x:v>1</x:v>
      </x:c>
      <x:c r="G44" t="n">
        <x:f>M43</x:f>
        <x:v>0.1</x:v>
      </x:c>
      <x:c r="H44" t="n">
        <x:f>N43</x:f>
        <x:v>0.1</x:v>
      </x:c>
      <x:c r="I44" t="n">
        <x:f>O43</x:f>
        <x:v>-0.1</x:v>
      </x:c>
      <x:c r="J44" t="n">
        <x:f>G44*D44+H44*E44+I44</x:f>
        <x:v>0.1</x:v>
      </x:c>
      <x:c r="K44" t="n">
        <x:f>IF(J44&gt;=0,1,-1)</x:f>
        <x:v>1</x:v>
      </x:c>
      <x:c r="L44" t="n">
        <x:f>IF(K44=F44,0,1)</x:f>
        <x:v>0</x:v>
      </x:c>
      <x:c r="M44" t="n">
        <x:f>G44+Parameters!$B$5*F44*D44*L44</x:f>
        <x:v>0.1</x:v>
      </x:c>
      <x:c r="N44" t="n">
        <x:f>H44+Parameters!$B$5*F44*E44*L44</x:f>
        <x:v>0.1</x:v>
      </x:c>
      <x:c r="O44" t="n">
        <x:f>I44+Parameters!$B$5*F44*L44</x:f>
        <x:v>-0.1</x:v>
      </x:c>
    </x:row>
    <x:row r="45">
      <x:c r="A45" t="n">
        <x:f>41</x:f>
        <x:v>41</x:v>
      </x:c>
      <x:c r="B45" t="n">
        <x:f>INT((A45-1)/4)+1</x:f>
        <x:v>11</x:v>
      </x:c>
      <x:c r="C45" t="n">
        <x:f>MOD(A45-1,4)+1</x:f>
        <x:v>1</x:v>
      </x:c>
      <x:c r="D45" t="n">
        <x:f>INDEX(Dataset!$B$5:$B$8,C45)</x:f>
        <x:v>-1</x:v>
      </x:c>
      <x:c r="E45" t="n">
        <x:f>INDEX(Dataset!$C$5:$C$8,C45)</x:f>
        <x:v>-1</x:v>
      </x:c>
      <x:c r="F45" t="n">
        <x:f>INDEX(Dataset!$D$5:$D$8,C45)</x:f>
        <x:v>-1</x:v>
      </x:c>
      <x:c r="G45" t="n">
        <x:f>M44</x:f>
        <x:v>0.1</x:v>
      </x:c>
      <x:c r="H45" t="n">
        <x:f>N44</x:f>
        <x:v>0.1</x:v>
      </x:c>
      <x:c r="I45" t="n">
        <x:f>O44</x:f>
        <x:v>-0.1</x:v>
      </x:c>
      <x:c r="J45" t="n">
        <x:f>G45*D45+H45*E45+I45</x:f>
        <x:v>-0.30000000000000004</x:v>
      </x:c>
      <x:c r="K45" t="n">
        <x:f>IF(J45&gt;=0,1,-1)</x:f>
        <x:v>-1</x:v>
      </x:c>
      <x:c r="L45" t="n">
        <x:f>IF(K45=F45,0,1)</x:f>
        <x:v>0</x:v>
      </x:c>
      <x:c r="M45" t="n">
        <x:f>G45+Parameters!$B$5*F45*D45*L45</x:f>
        <x:v>0.1</x:v>
      </x:c>
      <x:c r="N45" t="n">
        <x:f>H45+Parameters!$B$5*F45*E45*L45</x:f>
        <x:v>0.1</x:v>
      </x:c>
      <x:c r="O45" t="n">
        <x:f>I45+Parameters!$B$5*F45*L45</x:f>
        <x:v>-0.1</x:v>
      </x:c>
    </x:row>
    <x:row r="46">
      <x:c r="A46" t="n">
        <x:f>42</x:f>
        <x:v>42</x:v>
      </x:c>
      <x:c r="B46" t="n">
        <x:f>INT((A46-1)/4)+1</x:f>
        <x:v>11</x:v>
      </x:c>
      <x:c r="C46" t="n">
        <x:f>MOD(A46-1,4)+1</x:f>
        <x:v>2</x:v>
      </x:c>
      <x:c r="D46" t="n">
        <x:f>INDEX(Dataset!$B$5:$B$8,C46)</x:f>
        <x:v>-1</x:v>
      </x:c>
      <x:c r="E46" t="n">
        <x:f>INDEX(Dataset!$C$5:$C$8,C46)</x:f>
        <x:v>1</x:v>
      </x:c>
      <x:c r="F46" t="n">
        <x:f>INDEX(Dataset!$D$5:$D$8,C46)</x:f>
        <x:v>-1</x:v>
      </x:c>
      <x:c r="G46" t="n">
        <x:f>M45</x:f>
        <x:v>0.1</x:v>
      </x:c>
      <x:c r="H46" t="n">
        <x:f>N45</x:f>
        <x:v>0.1</x:v>
      </x:c>
      <x:c r="I46" t="n">
        <x:f>O45</x:f>
        <x:v>-0.1</x:v>
      </x:c>
      <x:c r="J46" t="n">
        <x:f>G46*D46+H46*E46+I46</x:f>
        <x:v>-0.1</x:v>
      </x:c>
      <x:c r="K46" t="n">
        <x:f>IF(J46&gt;=0,1,-1)</x:f>
        <x:v>-1</x:v>
      </x:c>
      <x:c r="L46" t="n">
        <x:f>IF(K46=F46,0,1)</x:f>
        <x:v>0</x:v>
      </x:c>
      <x:c r="M46" t="n">
        <x:f>G46+Parameters!$B$5*F46*D46*L46</x:f>
        <x:v>0.1</x:v>
      </x:c>
      <x:c r="N46" t="n">
        <x:f>H46+Parameters!$B$5*F46*E46*L46</x:f>
        <x:v>0.1</x:v>
      </x:c>
      <x:c r="O46" t="n">
        <x:f>I46+Parameters!$B$5*F46*L46</x:f>
        <x:v>-0.1</x:v>
      </x:c>
    </x:row>
    <x:row r="47">
      <x:c r="A47" t="n">
        <x:f>43</x:f>
        <x:v>43</x:v>
      </x:c>
      <x:c r="B47" t="n">
        <x:f>INT((A47-1)/4)+1</x:f>
        <x:v>11</x:v>
      </x:c>
      <x:c r="C47" t="n">
        <x:f>MOD(A47-1,4)+1</x:f>
        <x:v>3</x:v>
      </x:c>
      <x:c r="D47" t="n">
        <x:f>INDEX(Dataset!$B$5:$B$8,C47)</x:f>
        <x:v>1</x:v>
      </x:c>
      <x:c r="E47" t="n">
        <x:f>INDEX(Dataset!$C$5:$C$8,C47)</x:f>
        <x:v>-1</x:v>
      </x:c>
      <x:c r="F47" t="n">
        <x:f>INDEX(Dataset!$D$5:$D$8,C47)</x:f>
        <x:v>-1</x:v>
      </x:c>
      <x:c r="G47" t="n">
        <x:f>M46</x:f>
        <x:v>0.1</x:v>
      </x:c>
      <x:c r="H47" t="n">
        <x:f>N46</x:f>
        <x:v>0.1</x:v>
      </x:c>
      <x:c r="I47" t="n">
        <x:f>O46</x:f>
        <x:v>-0.1</x:v>
      </x:c>
      <x:c r="J47" t="n">
        <x:f>G47*D47+H47*E47+I47</x:f>
        <x:v>-0.1</x:v>
      </x:c>
      <x:c r="K47" t="n">
        <x:f>IF(J47&gt;=0,1,-1)</x:f>
        <x:v>-1</x:v>
      </x:c>
      <x:c r="L47" t="n">
        <x:f>IF(K47=F47,0,1)</x:f>
        <x:v>0</x:v>
      </x:c>
      <x:c r="M47" t="n">
        <x:f>G47+Parameters!$B$5*F47*D47*L47</x:f>
        <x:v>0.1</x:v>
      </x:c>
      <x:c r="N47" t="n">
        <x:f>H47+Parameters!$B$5*F47*E47*L47</x:f>
        <x:v>0.1</x:v>
      </x:c>
      <x:c r="O47" t="n">
        <x:f>I47+Parameters!$B$5*F47*L47</x:f>
        <x:v>-0.1</x:v>
      </x:c>
    </x:row>
    <x:row r="48">
      <x:c r="A48" t="n">
        <x:f>44</x:f>
        <x:v>44</x:v>
      </x:c>
      <x:c r="B48" t="n">
        <x:f>INT((A48-1)/4)+1</x:f>
        <x:v>11</x:v>
      </x:c>
      <x:c r="C48" t="n">
        <x:f>MOD(A48-1,4)+1</x:f>
        <x:v>4</x:v>
      </x:c>
      <x:c r="D48" t="n">
        <x:f>INDEX(Dataset!$B$5:$B$8,C48)</x:f>
        <x:v>1</x:v>
      </x:c>
      <x:c r="E48" t="n">
        <x:f>INDEX(Dataset!$C$5:$C$8,C48)</x:f>
        <x:v>1</x:v>
      </x:c>
      <x:c r="F48" t="n">
        <x:f>INDEX(Dataset!$D$5:$D$8,C48)</x:f>
        <x:v>1</x:v>
      </x:c>
      <x:c r="G48" t="n">
        <x:f>M47</x:f>
        <x:v>0.1</x:v>
      </x:c>
      <x:c r="H48" t="n">
        <x:f>N47</x:f>
        <x:v>0.1</x:v>
      </x:c>
      <x:c r="I48" t="n">
        <x:f>O47</x:f>
        <x:v>-0.1</x:v>
      </x:c>
      <x:c r="J48" t="n">
        <x:f>G48*D48+H48*E48+I48</x:f>
        <x:v>0.1</x:v>
      </x:c>
      <x:c r="K48" t="n">
        <x:f>IF(J48&gt;=0,1,-1)</x:f>
        <x:v>1</x:v>
      </x:c>
      <x:c r="L48" t="n">
        <x:f>IF(K48=F48,0,1)</x:f>
        <x:v>0</x:v>
      </x:c>
      <x:c r="M48" t="n">
        <x:f>G48+Parameters!$B$5*F48*D48*L48</x:f>
        <x:v>0.1</x:v>
      </x:c>
      <x:c r="N48" t="n">
        <x:f>H48+Parameters!$B$5*F48*E48*L48</x:f>
        <x:v>0.1</x:v>
      </x:c>
      <x:c r="O48" t="n">
        <x:f>I48+Parameters!$B$5*F48*L48</x:f>
        <x:v>-0.1</x:v>
      </x:c>
    </x:row>
    <x:row r="49">
      <x:c r="A49" t="n">
        <x:f>45</x:f>
        <x:v>45</x:v>
      </x:c>
      <x:c r="B49" t="n">
        <x:f>INT((A49-1)/4)+1</x:f>
        <x:v>12</x:v>
      </x:c>
      <x:c r="C49" t="n">
        <x:f>MOD(A49-1,4)+1</x:f>
        <x:v>1</x:v>
      </x:c>
      <x:c r="D49" t="n">
        <x:f>INDEX(Dataset!$B$5:$B$8,C49)</x:f>
        <x:v>-1</x:v>
      </x:c>
      <x:c r="E49" t="n">
        <x:f>INDEX(Dataset!$C$5:$C$8,C49)</x:f>
        <x:v>-1</x:v>
      </x:c>
      <x:c r="F49" t="n">
        <x:f>INDEX(Dataset!$D$5:$D$8,C49)</x:f>
        <x:v>-1</x:v>
      </x:c>
      <x:c r="G49" t="n">
        <x:f>M48</x:f>
        <x:v>0.1</x:v>
      </x:c>
      <x:c r="H49" t="n">
        <x:f>N48</x:f>
        <x:v>0.1</x:v>
      </x:c>
      <x:c r="I49" t="n">
        <x:f>O48</x:f>
        <x:v>-0.1</x:v>
      </x:c>
      <x:c r="J49" t="n">
        <x:f>G49*D49+H49*E49+I49</x:f>
        <x:v>-0.30000000000000004</x:v>
      </x:c>
      <x:c r="K49" t="n">
        <x:f>IF(J49&gt;=0,1,-1)</x:f>
        <x:v>-1</x:v>
      </x:c>
      <x:c r="L49" t="n">
        <x:f>IF(K49=F49,0,1)</x:f>
        <x:v>0</x:v>
      </x:c>
      <x:c r="M49" t="n">
        <x:f>G49+Parameters!$B$5*F49*D49*L49</x:f>
        <x:v>0.1</x:v>
      </x:c>
      <x:c r="N49" t="n">
        <x:f>H49+Parameters!$B$5*F49*E49*L49</x:f>
        <x:v>0.1</x:v>
      </x:c>
      <x:c r="O49" t="n">
        <x:f>I49+Parameters!$B$5*F49*L49</x:f>
        <x:v>-0.1</x:v>
      </x:c>
    </x:row>
    <x:row r="50">
      <x:c r="A50" t="n">
        <x:f>46</x:f>
        <x:v>46</x:v>
      </x:c>
      <x:c r="B50" t="n">
        <x:f>INT((A50-1)/4)+1</x:f>
        <x:v>12</x:v>
      </x:c>
      <x:c r="C50" t="n">
        <x:f>MOD(A50-1,4)+1</x:f>
        <x:v>2</x:v>
      </x:c>
      <x:c r="D50" t="n">
        <x:f>INDEX(Dataset!$B$5:$B$8,C50)</x:f>
        <x:v>-1</x:v>
      </x:c>
      <x:c r="E50" t="n">
        <x:f>INDEX(Dataset!$C$5:$C$8,C50)</x:f>
        <x:v>1</x:v>
      </x:c>
      <x:c r="F50" t="n">
        <x:f>INDEX(Dataset!$D$5:$D$8,C50)</x:f>
        <x:v>-1</x:v>
      </x:c>
      <x:c r="G50" t="n">
        <x:f>M49</x:f>
        <x:v>0.1</x:v>
      </x:c>
      <x:c r="H50" t="n">
        <x:f>N49</x:f>
        <x:v>0.1</x:v>
      </x:c>
      <x:c r="I50" t="n">
        <x:f>O49</x:f>
        <x:v>-0.1</x:v>
      </x:c>
      <x:c r="J50" t="n">
        <x:f>G50*D50+H50*E50+I50</x:f>
        <x:v>-0.1</x:v>
      </x:c>
      <x:c r="K50" t="n">
        <x:f>IF(J50&gt;=0,1,-1)</x:f>
        <x:v>-1</x:v>
      </x:c>
      <x:c r="L50" t="n">
        <x:f>IF(K50=F50,0,1)</x:f>
        <x:v>0</x:v>
      </x:c>
      <x:c r="M50" t="n">
        <x:f>G50+Parameters!$B$5*F50*D50*L50</x:f>
        <x:v>0.1</x:v>
      </x:c>
      <x:c r="N50" t="n">
        <x:f>H50+Parameters!$B$5*F50*E50*L50</x:f>
        <x:v>0.1</x:v>
      </x:c>
      <x:c r="O50" t="n">
        <x:f>I50+Parameters!$B$5*F50*L50</x:f>
        <x:v>-0.1</x:v>
      </x:c>
    </x:row>
    <x:row r="51">
      <x:c r="A51" t="n">
        <x:f>47</x:f>
        <x:v>47</x:v>
      </x:c>
      <x:c r="B51" t="n">
        <x:f>INT((A51-1)/4)+1</x:f>
        <x:v>12</x:v>
      </x:c>
      <x:c r="C51" t="n">
        <x:f>MOD(A51-1,4)+1</x:f>
        <x:v>3</x:v>
      </x:c>
      <x:c r="D51" t="n">
        <x:f>INDEX(Dataset!$B$5:$B$8,C51)</x:f>
        <x:v>1</x:v>
      </x:c>
      <x:c r="E51" t="n">
        <x:f>INDEX(Dataset!$C$5:$C$8,C51)</x:f>
        <x:v>-1</x:v>
      </x:c>
      <x:c r="F51" t="n">
        <x:f>INDEX(Dataset!$D$5:$D$8,C51)</x:f>
        <x:v>-1</x:v>
      </x:c>
      <x:c r="G51" t="n">
        <x:f>M50</x:f>
        <x:v>0.1</x:v>
      </x:c>
      <x:c r="H51" t="n">
        <x:f>N50</x:f>
        <x:v>0.1</x:v>
      </x:c>
      <x:c r="I51" t="n">
        <x:f>O50</x:f>
        <x:v>-0.1</x:v>
      </x:c>
      <x:c r="J51" t="n">
        <x:f>G51*D51+H51*E51+I51</x:f>
        <x:v>-0.1</x:v>
      </x:c>
      <x:c r="K51" t="n">
        <x:f>IF(J51&gt;=0,1,-1)</x:f>
        <x:v>-1</x:v>
      </x:c>
      <x:c r="L51" t="n">
        <x:f>IF(K51=F51,0,1)</x:f>
        <x:v>0</x:v>
      </x:c>
      <x:c r="M51" t="n">
        <x:f>G51+Parameters!$B$5*F51*D51*L51</x:f>
        <x:v>0.1</x:v>
      </x:c>
      <x:c r="N51" t="n">
        <x:f>H51+Parameters!$B$5*F51*E51*L51</x:f>
        <x:v>0.1</x:v>
      </x:c>
      <x:c r="O51" t="n">
        <x:f>I51+Parameters!$B$5*F51*L51</x:f>
        <x:v>-0.1</x:v>
      </x:c>
    </x:row>
    <x:row r="52">
      <x:c r="A52" t="n">
        <x:f>48</x:f>
        <x:v>48</x:v>
      </x:c>
      <x:c r="B52" t="n">
        <x:f>INT((A52-1)/4)+1</x:f>
        <x:v>12</x:v>
      </x:c>
      <x:c r="C52" t="n">
        <x:f>MOD(A52-1,4)+1</x:f>
        <x:v>4</x:v>
      </x:c>
      <x:c r="D52" t="n">
        <x:f>INDEX(Dataset!$B$5:$B$8,C52)</x:f>
        <x:v>1</x:v>
      </x:c>
      <x:c r="E52" t="n">
        <x:f>INDEX(Dataset!$C$5:$C$8,C52)</x:f>
        <x:v>1</x:v>
      </x:c>
      <x:c r="F52" t="n">
        <x:f>INDEX(Dataset!$D$5:$D$8,C52)</x:f>
        <x:v>1</x:v>
      </x:c>
      <x:c r="G52" t="n">
        <x:f>M51</x:f>
        <x:v>0.1</x:v>
      </x:c>
      <x:c r="H52" t="n">
        <x:f>N51</x:f>
        <x:v>0.1</x:v>
      </x:c>
      <x:c r="I52" t="n">
        <x:f>O51</x:f>
        <x:v>-0.1</x:v>
      </x:c>
      <x:c r="J52" t="n">
        <x:f>G52*D52+H52*E52+I52</x:f>
        <x:v>0.1</x:v>
      </x:c>
      <x:c r="K52" t="n">
        <x:f>IF(J52&gt;=0,1,-1)</x:f>
        <x:v>1</x:v>
      </x:c>
      <x:c r="L52" t="n">
        <x:f>IF(K52=F52,0,1)</x:f>
        <x:v>0</x:v>
      </x:c>
      <x:c r="M52" t="n">
        <x:f>G52+Parameters!$B$5*F52*D52*L52</x:f>
        <x:v>0.1</x:v>
      </x:c>
      <x:c r="N52" t="n">
        <x:f>H52+Parameters!$B$5*F52*E52*L52</x:f>
        <x:v>0.1</x:v>
      </x:c>
      <x:c r="O52" t="n">
        <x:f>I52+Parameters!$B$5*F52*L52</x:f>
        <x:v>-0.1</x:v>
      </x:c>
    </x:row>
    <x:row r="53">
      <x:c r="A53" t="n">
        <x:f>49</x:f>
        <x:v>49</x:v>
      </x:c>
      <x:c r="B53" t="n">
        <x:f>INT((A53-1)/4)+1</x:f>
        <x:v>13</x:v>
      </x:c>
      <x:c r="C53" t="n">
        <x:f>MOD(A53-1,4)+1</x:f>
        <x:v>1</x:v>
      </x:c>
      <x:c r="D53" t="n">
        <x:f>INDEX(Dataset!$B$5:$B$8,C53)</x:f>
        <x:v>-1</x:v>
      </x:c>
      <x:c r="E53" t="n">
        <x:f>INDEX(Dataset!$C$5:$C$8,C53)</x:f>
        <x:v>-1</x:v>
      </x:c>
      <x:c r="F53" t="n">
        <x:f>INDEX(Dataset!$D$5:$D$8,C53)</x:f>
        <x:v>-1</x:v>
      </x:c>
      <x:c r="G53" t="n">
        <x:f>M52</x:f>
        <x:v>0.1</x:v>
      </x:c>
      <x:c r="H53" t="n">
        <x:f>N52</x:f>
        <x:v>0.1</x:v>
      </x:c>
      <x:c r="I53" t="n">
        <x:f>O52</x:f>
        <x:v>-0.1</x:v>
      </x:c>
      <x:c r="J53" t="n">
        <x:f>G53*D53+H53*E53+I53</x:f>
        <x:v>-0.30000000000000004</x:v>
      </x:c>
      <x:c r="K53" t="n">
        <x:f>IF(J53&gt;=0,1,-1)</x:f>
        <x:v>-1</x:v>
      </x:c>
      <x:c r="L53" t="n">
        <x:f>IF(K53=F53,0,1)</x:f>
        <x:v>0</x:v>
      </x:c>
      <x:c r="M53" t="n">
        <x:f>G53+Parameters!$B$5*F53*D53*L53</x:f>
        <x:v>0.1</x:v>
      </x:c>
      <x:c r="N53" t="n">
        <x:f>H53+Parameters!$B$5*F53*E53*L53</x:f>
        <x:v>0.1</x:v>
      </x:c>
      <x:c r="O53" t="n">
        <x:f>I53+Parameters!$B$5*F53*L53</x:f>
        <x:v>-0.1</x:v>
      </x:c>
    </x:row>
    <x:row r="54">
      <x:c r="A54" t="n">
        <x:f>50</x:f>
        <x:v>50</x:v>
      </x:c>
      <x:c r="B54" t="n">
        <x:f>INT((A54-1)/4)+1</x:f>
        <x:v>13</x:v>
      </x:c>
      <x:c r="C54" t="n">
        <x:f>MOD(A54-1,4)+1</x:f>
        <x:v>2</x:v>
      </x:c>
      <x:c r="D54" t="n">
        <x:f>INDEX(Dataset!$B$5:$B$8,C54)</x:f>
        <x:v>-1</x:v>
      </x:c>
      <x:c r="E54" t="n">
        <x:f>INDEX(Dataset!$C$5:$C$8,C54)</x:f>
        <x:v>1</x:v>
      </x:c>
      <x:c r="F54" t="n">
        <x:f>INDEX(Dataset!$D$5:$D$8,C54)</x:f>
        <x:v>-1</x:v>
      </x:c>
      <x:c r="G54" t="n">
        <x:f>M53</x:f>
        <x:v>0.1</x:v>
      </x:c>
      <x:c r="H54" t="n">
        <x:f>N53</x:f>
        <x:v>0.1</x:v>
      </x:c>
      <x:c r="I54" t="n">
        <x:f>O53</x:f>
        <x:v>-0.1</x:v>
      </x:c>
      <x:c r="J54" t="n">
        <x:f>G54*D54+H54*E54+I54</x:f>
        <x:v>-0.1</x:v>
      </x:c>
      <x:c r="K54" t="n">
        <x:f>IF(J54&gt;=0,1,-1)</x:f>
        <x:v>-1</x:v>
      </x:c>
      <x:c r="L54" t="n">
        <x:f>IF(K54=F54,0,1)</x:f>
        <x:v>0</x:v>
      </x:c>
      <x:c r="M54" t="n">
        <x:f>G54+Parameters!$B$5*F54*D54*L54</x:f>
        <x:v>0.1</x:v>
      </x:c>
      <x:c r="N54" t="n">
        <x:f>H54+Parameters!$B$5*F54*E54*L54</x:f>
        <x:v>0.1</x:v>
      </x:c>
      <x:c r="O54" t="n">
        <x:f>I54+Parameters!$B$5*F54*L54</x:f>
        <x:v>-0.1</x:v>
      </x:c>
    </x:row>
    <x:row r="55">
      <x:c r="A55" t="n">
        <x:f>51</x:f>
        <x:v>51</x:v>
      </x:c>
      <x:c r="B55" t="n">
        <x:f>INT((A55-1)/4)+1</x:f>
        <x:v>13</x:v>
      </x:c>
      <x:c r="C55" t="n">
        <x:f>MOD(A55-1,4)+1</x:f>
        <x:v>3</x:v>
      </x:c>
      <x:c r="D55" t="n">
        <x:f>INDEX(Dataset!$B$5:$B$8,C55)</x:f>
        <x:v>1</x:v>
      </x:c>
      <x:c r="E55" t="n">
        <x:f>INDEX(Dataset!$C$5:$C$8,C55)</x:f>
        <x:v>-1</x:v>
      </x:c>
      <x:c r="F55" t="n">
        <x:f>INDEX(Dataset!$D$5:$D$8,C55)</x:f>
        <x:v>-1</x:v>
      </x:c>
      <x:c r="G55" t="n">
        <x:f>M54</x:f>
        <x:v>0.1</x:v>
      </x:c>
      <x:c r="H55" t="n">
        <x:f>N54</x:f>
        <x:v>0.1</x:v>
      </x:c>
      <x:c r="I55" t="n">
        <x:f>O54</x:f>
        <x:v>-0.1</x:v>
      </x:c>
      <x:c r="J55" t="n">
        <x:f>G55*D55+H55*E55+I55</x:f>
        <x:v>-0.1</x:v>
      </x:c>
      <x:c r="K55" t="n">
        <x:f>IF(J55&gt;=0,1,-1)</x:f>
        <x:v>-1</x:v>
      </x:c>
      <x:c r="L55" t="n">
        <x:f>IF(K55=F55,0,1)</x:f>
        <x:v>0</x:v>
      </x:c>
      <x:c r="M55" t="n">
        <x:f>G55+Parameters!$B$5*F55*D55*L55</x:f>
        <x:v>0.1</x:v>
      </x:c>
      <x:c r="N55" t="n">
        <x:f>H55+Parameters!$B$5*F55*E55*L55</x:f>
        <x:v>0.1</x:v>
      </x:c>
      <x:c r="O55" t="n">
        <x:f>I55+Parameters!$B$5*F55*L55</x:f>
        <x:v>-0.1</x:v>
      </x:c>
    </x:row>
    <x:row r="56">
      <x:c r="A56" t="n">
        <x:f>52</x:f>
        <x:v>52</x:v>
      </x:c>
      <x:c r="B56" t="n">
        <x:f>INT((A56-1)/4)+1</x:f>
        <x:v>13</x:v>
      </x:c>
      <x:c r="C56" t="n">
        <x:f>MOD(A56-1,4)+1</x:f>
        <x:v>4</x:v>
      </x:c>
      <x:c r="D56" t="n">
        <x:f>INDEX(Dataset!$B$5:$B$8,C56)</x:f>
        <x:v>1</x:v>
      </x:c>
      <x:c r="E56" t="n">
        <x:f>INDEX(Dataset!$C$5:$C$8,C56)</x:f>
        <x:v>1</x:v>
      </x:c>
      <x:c r="F56" t="n">
        <x:f>INDEX(Dataset!$D$5:$D$8,C56)</x:f>
        <x:v>1</x:v>
      </x:c>
      <x:c r="G56" t="n">
        <x:f>M55</x:f>
        <x:v>0.1</x:v>
      </x:c>
      <x:c r="H56" t="n">
        <x:f>N55</x:f>
        <x:v>0.1</x:v>
      </x:c>
      <x:c r="I56" t="n">
        <x:f>O55</x:f>
        <x:v>-0.1</x:v>
      </x:c>
      <x:c r="J56" t="n">
        <x:f>G56*D56+H56*E56+I56</x:f>
        <x:v>0.1</x:v>
      </x:c>
      <x:c r="K56" t="n">
        <x:f>IF(J56&gt;=0,1,-1)</x:f>
        <x:v>1</x:v>
      </x:c>
      <x:c r="L56" t="n">
        <x:f>IF(K56=F56,0,1)</x:f>
        <x:v>0</x:v>
      </x:c>
      <x:c r="M56" t="n">
        <x:f>G56+Parameters!$B$5*F56*D56*L56</x:f>
        <x:v>0.1</x:v>
      </x:c>
      <x:c r="N56" t="n">
        <x:f>H56+Parameters!$B$5*F56*E56*L56</x:f>
        <x:v>0.1</x:v>
      </x:c>
      <x:c r="O56" t="n">
        <x:f>I56+Parameters!$B$5*F56*L56</x:f>
        <x:v>-0.1</x:v>
      </x:c>
    </x:row>
    <x:row r="57">
      <x:c r="A57" t="n">
        <x:f>53</x:f>
        <x:v>53</x:v>
      </x:c>
      <x:c r="B57" t="n">
        <x:f>INT((A57-1)/4)+1</x:f>
        <x:v>14</x:v>
      </x:c>
      <x:c r="C57" t="n">
        <x:f>MOD(A57-1,4)+1</x:f>
        <x:v>1</x:v>
      </x:c>
      <x:c r="D57" t="n">
        <x:f>INDEX(Dataset!$B$5:$B$8,C57)</x:f>
        <x:v>-1</x:v>
      </x:c>
      <x:c r="E57" t="n">
        <x:f>INDEX(Dataset!$C$5:$C$8,C57)</x:f>
        <x:v>-1</x:v>
      </x:c>
      <x:c r="F57" t="n">
        <x:f>INDEX(Dataset!$D$5:$D$8,C57)</x:f>
        <x:v>-1</x:v>
      </x:c>
      <x:c r="G57" t="n">
        <x:f>M56</x:f>
        <x:v>0.1</x:v>
      </x:c>
      <x:c r="H57" t="n">
        <x:f>N56</x:f>
        <x:v>0.1</x:v>
      </x:c>
      <x:c r="I57" t="n">
        <x:f>O56</x:f>
        <x:v>-0.1</x:v>
      </x:c>
      <x:c r="J57" t="n">
        <x:f>G57*D57+H57*E57+I57</x:f>
        <x:v>-0.30000000000000004</x:v>
      </x:c>
      <x:c r="K57" t="n">
        <x:f>IF(J57&gt;=0,1,-1)</x:f>
        <x:v>-1</x:v>
      </x:c>
      <x:c r="L57" t="n">
        <x:f>IF(K57=F57,0,1)</x:f>
        <x:v>0</x:v>
      </x:c>
      <x:c r="M57" t="n">
        <x:f>G57+Parameters!$B$5*F57*D57*L57</x:f>
        <x:v>0.1</x:v>
      </x:c>
      <x:c r="N57" t="n">
        <x:f>H57+Parameters!$B$5*F57*E57*L57</x:f>
        <x:v>0.1</x:v>
      </x:c>
      <x:c r="O57" t="n">
        <x:f>I57+Parameters!$B$5*F57*L57</x:f>
        <x:v>-0.1</x:v>
      </x:c>
    </x:row>
    <x:row r="58">
      <x:c r="A58" t="n">
        <x:f>54</x:f>
        <x:v>54</x:v>
      </x:c>
      <x:c r="B58" t="n">
        <x:f>INT((A58-1)/4)+1</x:f>
        <x:v>14</x:v>
      </x:c>
      <x:c r="C58" t="n">
        <x:f>MOD(A58-1,4)+1</x:f>
        <x:v>2</x:v>
      </x:c>
      <x:c r="D58" t="n">
        <x:f>INDEX(Dataset!$B$5:$B$8,C58)</x:f>
        <x:v>-1</x:v>
      </x:c>
      <x:c r="E58" t="n">
        <x:f>INDEX(Dataset!$C$5:$C$8,C58)</x:f>
        <x:v>1</x:v>
      </x:c>
      <x:c r="F58" t="n">
        <x:f>INDEX(Dataset!$D$5:$D$8,C58)</x:f>
        <x:v>-1</x:v>
      </x:c>
      <x:c r="G58" t="n">
        <x:f>M57</x:f>
        <x:v>0.1</x:v>
      </x:c>
      <x:c r="H58" t="n">
        <x:f>N57</x:f>
        <x:v>0.1</x:v>
      </x:c>
      <x:c r="I58" t="n">
        <x:f>O57</x:f>
        <x:v>-0.1</x:v>
      </x:c>
      <x:c r="J58" t="n">
        <x:f>G58*D58+H58*E58+I58</x:f>
        <x:v>-0.1</x:v>
      </x:c>
      <x:c r="K58" t="n">
        <x:f>IF(J58&gt;=0,1,-1)</x:f>
        <x:v>-1</x:v>
      </x:c>
      <x:c r="L58" t="n">
        <x:f>IF(K58=F58,0,1)</x:f>
        <x:v>0</x:v>
      </x:c>
      <x:c r="M58" t="n">
        <x:f>G58+Parameters!$B$5*F58*D58*L58</x:f>
        <x:v>0.1</x:v>
      </x:c>
      <x:c r="N58" t="n">
        <x:f>H58+Parameters!$B$5*F58*E58*L58</x:f>
        <x:v>0.1</x:v>
      </x:c>
      <x:c r="O58" t="n">
        <x:f>I58+Parameters!$B$5*F58*L58</x:f>
        <x:v>-0.1</x:v>
      </x:c>
    </x:row>
    <x:row r="59">
      <x:c r="A59" t="n">
        <x:f>55</x:f>
        <x:v>55</x:v>
      </x:c>
      <x:c r="B59" t="n">
        <x:f>INT((A59-1)/4)+1</x:f>
        <x:v>14</x:v>
      </x:c>
      <x:c r="C59" t="n">
        <x:f>MOD(A59-1,4)+1</x:f>
        <x:v>3</x:v>
      </x:c>
      <x:c r="D59" t="n">
        <x:f>INDEX(Dataset!$B$5:$B$8,C59)</x:f>
        <x:v>1</x:v>
      </x:c>
      <x:c r="E59" t="n">
        <x:f>INDEX(Dataset!$C$5:$C$8,C59)</x:f>
        <x:v>-1</x:v>
      </x:c>
      <x:c r="F59" t="n">
        <x:f>INDEX(Dataset!$D$5:$D$8,C59)</x:f>
        <x:v>-1</x:v>
      </x:c>
      <x:c r="G59" t="n">
        <x:f>M58</x:f>
        <x:v>0.1</x:v>
      </x:c>
      <x:c r="H59" t="n">
        <x:f>N58</x:f>
        <x:v>0.1</x:v>
      </x:c>
      <x:c r="I59" t="n">
        <x:f>O58</x:f>
        <x:v>-0.1</x:v>
      </x:c>
      <x:c r="J59" t="n">
        <x:f>G59*D59+H59*E59+I59</x:f>
        <x:v>-0.1</x:v>
      </x:c>
      <x:c r="K59" t="n">
        <x:f>IF(J59&gt;=0,1,-1)</x:f>
        <x:v>-1</x:v>
      </x:c>
      <x:c r="L59" t="n">
        <x:f>IF(K59=F59,0,1)</x:f>
        <x:v>0</x:v>
      </x:c>
      <x:c r="M59" t="n">
        <x:f>G59+Parameters!$B$5*F59*D59*L59</x:f>
        <x:v>0.1</x:v>
      </x:c>
      <x:c r="N59" t="n">
        <x:f>H59+Parameters!$B$5*F59*E59*L59</x:f>
        <x:v>0.1</x:v>
      </x:c>
      <x:c r="O59" t="n">
        <x:f>I59+Parameters!$B$5*F59*L59</x:f>
        <x:v>-0.1</x:v>
      </x:c>
    </x:row>
    <x:row r="60">
      <x:c r="A60" t="n">
        <x:f>56</x:f>
        <x:v>56</x:v>
      </x:c>
      <x:c r="B60" t="n">
        <x:f>INT((A60-1)/4)+1</x:f>
        <x:v>14</x:v>
      </x:c>
      <x:c r="C60" t="n">
        <x:f>MOD(A60-1,4)+1</x:f>
        <x:v>4</x:v>
      </x:c>
      <x:c r="D60" t="n">
        <x:f>INDEX(Dataset!$B$5:$B$8,C60)</x:f>
        <x:v>1</x:v>
      </x:c>
      <x:c r="E60" t="n">
        <x:f>INDEX(Dataset!$C$5:$C$8,C60)</x:f>
        <x:v>1</x:v>
      </x:c>
      <x:c r="F60" t="n">
        <x:f>INDEX(Dataset!$D$5:$D$8,C60)</x:f>
        <x:v>1</x:v>
      </x:c>
      <x:c r="G60" t="n">
        <x:f>M59</x:f>
        <x:v>0.1</x:v>
      </x:c>
      <x:c r="H60" t="n">
        <x:f>N59</x:f>
        <x:v>0.1</x:v>
      </x:c>
      <x:c r="I60" t="n">
        <x:f>O59</x:f>
        <x:v>-0.1</x:v>
      </x:c>
      <x:c r="J60" t="n">
        <x:f>G60*D60+H60*E60+I60</x:f>
        <x:v>0.1</x:v>
      </x:c>
      <x:c r="K60" t="n">
        <x:f>IF(J60&gt;=0,1,-1)</x:f>
        <x:v>1</x:v>
      </x:c>
      <x:c r="L60" t="n">
        <x:f>IF(K60=F60,0,1)</x:f>
        <x:v>0</x:v>
      </x:c>
      <x:c r="M60" t="n">
        <x:f>G60+Parameters!$B$5*F60*D60*L60</x:f>
        <x:v>0.1</x:v>
      </x:c>
      <x:c r="N60" t="n">
        <x:f>H60+Parameters!$B$5*F60*E60*L60</x:f>
        <x:v>0.1</x:v>
      </x:c>
      <x:c r="O60" t="n">
        <x:f>I60+Parameters!$B$5*F60*L60</x:f>
        <x:v>-0.1</x:v>
      </x:c>
    </x:row>
    <x:row r="61">
      <x:c r="A61" t="n">
        <x:f>57</x:f>
        <x:v>57</x:v>
      </x:c>
      <x:c r="B61" t="n">
        <x:f>INT((A61-1)/4)+1</x:f>
        <x:v>15</x:v>
      </x:c>
      <x:c r="C61" t="n">
        <x:f>MOD(A61-1,4)+1</x:f>
        <x:v>1</x:v>
      </x:c>
      <x:c r="D61" t="n">
        <x:f>INDEX(Dataset!$B$5:$B$8,C61)</x:f>
        <x:v>-1</x:v>
      </x:c>
      <x:c r="E61" t="n">
        <x:f>INDEX(Dataset!$C$5:$C$8,C61)</x:f>
        <x:v>-1</x:v>
      </x:c>
      <x:c r="F61" t="n">
        <x:f>INDEX(Dataset!$D$5:$D$8,C61)</x:f>
        <x:v>-1</x:v>
      </x:c>
      <x:c r="G61" t="n">
        <x:f>M60</x:f>
        <x:v>0.1</x:v>
      </x:c>
      <x:c r="H61" t="n">
        <x:f>N60</x:f>
        <x:v>0.1</x:v>
      </x:c>
      <x:c r="I61" t="n">
        <x:f>O60</x:f>
        <x:v>-0.1</x:v>
      </x:c>
      <x:c r="J61" t="n">
        <x:f>G61*D61+H61*E61+I61</x:f>
        <x:v>-0.30000000000000004</x:v>
      </x:c>
      <x:c r="K61" t="n">
        <x:f>IF(J61&gt;=0,1,-1)</x:f>
        <x:v>-1</x:v>
      </x:c>
      <x:c r="L61" t="n">
        <x:f>IF(K61=F61,0,1)</x:f>
        <x:v>0</x:v>
      </x:c>
      <x:c r="M61" t="n">
        <x:f>G61+Parameters!$B$5*F61*D61*L61</x:f>
        <x:v>0.1</x:v>
      </x:c>
      <x:c r="N61" t="n">
        <x:f>H61+Parameters!$B$5*F61*E61*L61</x:f>
        <x:v>0.1</x:v>
      </x:c>
      <x:c r="O61" t="n">
        <x:f>I61+Parameters!$B$5*F61*L61</x:f>
        <x:v>-0.1</x:v>
      </x:c>
    </x:row>
    <x:row r="62">
      <x:c r="A62" t="n">
        <x:f>58</x:f>
        <x:v>58</x:v>
      </x:c>
      <x:c r="B62" t="n">
        <x:f>INT((A62-1)/4)+1</x:f>
        <x:v>15</x:v>
      </x:c>
      <x:c r="C62" t="n">
        <x:f>MOD(A62-1,4)+1</x:f>
        <x:v>2</x:v>
      </x:c>
      <x:c r="D62" t="n">
        <x:f>INDEX(Dataset!$B$5:$B$8,C62)</x:f>
        <x:v>-1</x:v>
      </x:c>
      <x:c r="E62" t="n">
        <x:f>INDEX(Dataset!$C$5:$C$8,C62)</x:f>
        <x:v>1</x:v>
      </x:c>
      <x:c r="F62" t="n">
        <x:f>INDEX(Dataset!$D$5:$D$8,C62)</x:f>
        <x:v>-1</x:v>
      </x:c>
      <x:c r="G62" t="n">
        <x:f>M61</x:f>
        <x:v>0.1</x:v>
      </x:c>
      <x:c r="H62" t="n">
        <x:f>N61</x:f>
        <x:v>0.1</x:v>
      </x:c>
      <x:c r="I62" t="n">
        <x:f>O61</x:f>
        <x:v>-0.1</x:v>
      </x:c>
      <x:c r="J62" t="n">
        <x:f>G62*D62+H62*E62+I62</x:f>
        <x:v>-0.1</x:v>
      </x:c>
      <x:c r="K62" t="n">
        <x:f>IF(J62&gt;=0,1,-1)</x:f>
        <x:v>-1</x:v>
      </x:c>
      <x:c r="L62" t="n">
        <x:f>IF(K62=F62,0,1)</x:f>
        <x:v>0</x:v>
      </x:c>
      <x:c r="M62" t="n">
        <x:f>G62+Parameters!$B$5*F62*D62*L62</x:f>
        <x:v>0.1</x:v>
      </x:c>
      <x:c r="N62" t="n">
        <x:f>H62+Parameters!$B$5*F62*E62*L62</x:f>
        <x:v>0.1</x:v>
      </x:c>
      <x:c r="O62" t="n">
        <x:f>I62+Parameters!$B$5*F62*L62</x:f>
        <x:v>-0.1</x:v>
      </x:c>
    </x:row>
    <x:row r="63">
      <x:c r="A63" t="n">
        <x:f>59</x:f>
        <x:v>59</x:v>
      </x:c>
      <x:c r="B63" t="n">
        <x:f>INT((A63-1)/4)+1</x:f>
        <x:v>15</x:v>
      </x:c>
      <x:c r="C63" t="n">
        <x:f>MOD(A63-1,4)+1</x:f>
        <x:v>3</x:v>
      </x:c>
      <x:c r="D63" t="n">
        <x:f>INDEX(Dataset!$B$5:$B$8,C63)</x:f>
        <x:v>1</x:v>
      </x:c>
      <x:c r="E63" t="n">
        <x:f>INDEX(Dataset!$C$5:$C$8,C63)</x:f>
        <x:v>-1</x:v>
      </x:c>
      <x:c r="F63" t="n">
        <x:f>INDEX(Dataset!$D$5:$D$8,C63)</x:f>
        <x:v>-1</x:v>
      </x:c>
      <x:c r="G63" t="n">
        <x:f>M62</x:f>
        <x:v>0.1</x:v>
      </x:c>
      <x:c r="H63" t="n">
        <x:f>N62</x:f>
        <x:v>0.1</x:v>
      </x:c>
      <x:c r="I63" t="n">
        <x:f>O62</x:f>
        <x:v>-0.1</x:v>
      </x:c>
      <x:c r="J63" t="n">
        <x:f>G63*D63+H63*E63+I63</x:f>
        <x:v>-0.1</x:v>
      </x:c>
      <x:c r="K63" t="n">
        <x:f>IF(J63&gt;=0,1,-1)</x:f>
        <x:v>-1</x:v>
      </x:c>
      <x:c r="L63" t="n">
        <x:f>IF(K63=F63,0,1)</x:f>
        <x:v>0</x:v>
      </x:c>
      <x:c r="M63" t="n">
        <x:f>G63+Parameters!$B$5*F63*D63*L63</x:f>
        <x:v>0.1</x:v>
      </x:c>
      <x:c r="N63" t="n">
        <x:f>H63+Parameters!$B$5*F63*E63*L63</x:f>
        <x:v>0.1</x:v>
      </x:c>
      <x:c r="O63" t="n">
        <x:f>I63+Parameters!$B$5*F63*L63</x:f>
        <x:v>-0.1</x:v>
      </x:c>
    </x:row>
    <x:row r="64">
      <x:c r="A64" t="n">
        <x:f>60</x:f>
        <x:v>60</x:v>
      </x:c>
      <x:c r="B64" t="n">
        <x:f>INT((A64-1)/4)+1</x:f>
        <x:v>15</x:v>
      </x:c>
      <x:c r="C64" t="n">
        <x:f>MOD(A64-1,4)+1</x:f>
        <x:v>4</x:v>
      </x:c>
      <x:c r="D64" t="n">
        <x:f>INDEX(Dataset!$B$5:$B$8,C64)</x:f>
        <x:v>1</x:v>
      </x:c>
      <x:c r="E64" t="n">
        <x:f>INDEX(Dataset!$C$5:$C$8,C64)</x:f>
        <x:v>1</x:v>
      </x:c>
      <x:c r="F64" t="n">
        <x:f>INDEX(Dataset!$D$5:$D$8,C64)</x:f>
        <x:v>1</x:v>
      </x:c>
      <x:c r="G64" t="n">
        <x:f>M63</x:f>
        <x:v>0.1</x:v>
      </x:c>
      <x:c r="H64" t="n">
        <x:f>N63</x:f>
        <x:v>0.1</x:v>
      </x:c>
      <x:c r="I64" t="n">
        <x:f>O63</x:f>
        <x:v>-0.1</x:v>
      </x:c>
      <x:c r="J64" t="n">
        <x:f>G64*D64+H64*E64+I64</x:f>
        <x:v>0.1</x:v>
      </x:c>
      <x:c r="K64" t="n">
        <x:f>IF(J64&gt;=0,1,-1)</x:f>
        <x:v>1</x:v>
      </x:c>
      <x:c r="L64" t="n">
        <x:f>IF(K64=F64,0,1)</x:f>
        <x:v>0</x:v>
      </x:c>
      <x:c r="M64" t="n">
        <x:f>G64+Parameters!$B$5*F64*D64*L64</x:f>
        <x:v>0.1</x:v>
      </x:c>
      <x:c r="N64" t="n">
        <x:f>H64+Parameters!$B$5*F64*E64*L64</x:f>
        <x:v>0.1</x:v>
      </x:c>
      <x:c r="O64" t="n">
        <x:f>I64+Parameters!$B$5*F64*L64</x:f>
        <x:v>-0.1</x:v>
      </x:c>
    </x:row>
    <x:row r="65">
      <x:c r="A65" t="n">
        <x:f>61</x:f>
        <x:v>61</x:v>
      </x:c>
      <x:c r="B65" t="n">
        <x:f>INT((A65-1)/4)+1</x:f>
        <x:v>16</x:v>
      </x:c>
      <x:c r="C65" t="n">
        <x:f>MOD(A65-1,4)+1</x:f>
        <x:v>1</x:v>
      </x:c>
      <x:c r="D65" t="n">
        <x:f>INDEX(Dataset!$B$5:$B$8,C65)</x:f>
        <x:v>-1</x:v>
      </x:c>
      <x:c r="E65" t="n">
        <x:f>INDEX(Dataset!$C$5:$C$8,C65)</x:f>
        <x:v>-1</x:v>
      </x:c>
      <x:c r="F65" t="n">
        <x:f>INDEX(Dataset!$D$5:$D$8,C65)</x:f>
        <x:v>-1</x:v>
      </x:c>
      <x:c r="G65" t="n">
        <x:f>M64</x:f>
        <x:v>0.1</x:v>
      </x:c>
      <x:c r="H65" t="n">
        <x:f>N64</x:f>
        <x:v>0.1</x:v>
      </x:c>
      <x:c r="I65" t="n">
        <x:f>O64</x:f>
        <x:v>-0.1</x:v>
      </x:c>
      <x:c r="J65" t="n">
        <x:f>G65*D65+H65*E65+I65</x:f>
        <x:v>-0.30000000000000004</x:v>
      </x:c>
      <x:c r="K65" t="n">
        <x:f>IF(J65&gt;=0,1,-1)</x:f>
        <x:v>-1</x:v>
      </x:c>
      <x:c r="L65" t="n">
        <x:f>IF(K65=F65,0,1)</x:f>
        <x:v>0</x:v>
      </x:c>
      <x:c r="M65" t="n">
        <x:f>G65+Parameters!$B$5*F65*D65*L65</x:f>
        <x:v>0.1</x:v>
      </x:c>
      <x:c r="N65" t="n">
        <x:f>H65+Parameters!$B$5*F65*E65*L65</x:f>
        <x:v>0.1</x:v>
      </x:c>
      <x:c r="O65" t="n">
        <x:f>I65+Parameters!$B$5*F65*L65</x:f>
        <x:v>-0.1</x:v>
      </x:c>
    </x:row>
    <x:row r="66">
      <x:c r="A66" t="n">
        <x:f>62</x:f>
        <x:v>62</x:v>
      </x:c>
      <x:c r="B66" t="n">
        <x:f>INT((A66-1)/4)+1</x:f>
        <x:v>16</x:v>
      </x:c>
      <x:c r="C66" t="n">
        <x:f>MOD(A66-1,4)+1</x:f>
        <x:v>2</x:v>
      </x:c>
      <x:c r="D66" t="n">
        <x:f>INDEX(Dataset!$B$5:$B$8,C66)</x:f>
        <x:v>-1</x:v>
      </x:c>
      <x:c r="E66" t="n">
        <x:f>INDEX(Dataset!$C$5:$C$8,C66)</x:f>
        <x:v>1</x:v>
      </x:c>
      <x:c r="F66" t="n">
        <x:f>INDEX(Dataset!$D$5:$D$8,C66)</x:f>
        <x:v>-1</x:v>
      </x:c>
      <x:c r="G66" t="n">
        <x:f>M65</x:f>
        <x:v>0.1</x:v>
      </x:c>
      <x:c r="H66" t="n">
        <x:f>N65</x:f>
        <x:v>0.1</x:v>
      </x:c>
      <x:c r="I66" t="n">
        <x:f>O65</x:f>
        <x:v>-0.1</x:v>
      </x:c>
      <x:c r="J66" t="n">
        <x:f>G66*D66+H66*E66+I66</x:f>
        <x:v>-0.1</x:v>
      </x:c>
      <x:c r="K66" t="n">
        <x:f>IF(J66&gt;=0,1,-1)</x:f>
        <x:v>-1</x:v>
      </x:c>
      <x:c r="L66" t="n">
        <x:f>IF(K66=F66,0,1)</x:f>
        <x:v>0</x:v>
      </x:c>
      <x:c r="M66" t="n">
        <x:f>G66+Parameters!$B$5*F66*D66*L66</x:f>
        <x:v>0.1</x:v>
      </x:c>
      <x:c r="N66" t="n">
        <x:f>H66+Parameters!$B$5*F66*E66*L66</x:f>
        <x:v>0.1</x:v>
      </x:c>
      <x:c r="O66" t="n">
        <x:f>I66+Parameters!$B$5*F66*L66</x:f>
        <x:v>-0.1</x:v>
      </x:c>
    </x:row>
    <x:row r="67">
      <x:c r="A67" t="n">
        <x:f>63</x:f>
        <x:v>63</x:v>
      </x:c>
      <x:c r="B67" t="n">
        <x:f>INT((A67-1)/4)+1</x:f>
        <x:v>16</x:v>
      </x:c>
      <x:c r="C67" t="n">
        <x:f>MOD(A67-1,4)+1</x:f>
        <x:v>3</x:v>
      </x:c>
      <x:c r="D67" t="n">
        <x:f>INDEX(Dataset!$B$5:$B$8,C67)</x:f>
        <x:v>1</x:v>
      </x:c>
      <x:c r="E67" t="n">
        <x:f>INDEX(Dataset!$C$5:$C$8,C67)</x:f>
        <x:v>-1</x:v>
      </x:c>
      <x:c r="F67" t="n">
        <x:f>INDEX(Dataset!$D$5:$D$8,C67)</x:f>
        <x:v>-1</x:v>
      </x:c>
      <x:c r="G67" t="n">
        <x:f>M66</x:f>
        <x:v>0.1</x:v>
      </x:c>
      <x:c r="H67" t="n">
        <x:f>N66</x:f>
        <x:v>0.1</x:v>
      </x:c>
      <x:c r="I67" t="n">
        <x:f>O66</x:f>
        <x:v>-0.1</x:v>
      </x:c>
      <x:c r="J67" t="n">
        <x:f>G67*D67+H67*E67+I67</x:f>
        <x:v>-0.1</x:v>
      </x:c>
      <x:c r="K67" t="n">
        <x:f>IF(J67&gt;=0,1,-1)</x:f>
        <x:v>-1</x:v>
      </x:c>
      <x:c r="L67" t="n">
        <x:f>IF(K67=F67,0,1)</x:f>
        <x:v>0</x:v>
      </x:c>
      <x:c r="M67" t="n">
        <x:f>G67+Parameters!$B$5*F67*D67*L67</x:f>
        <x:v>0.1</x:v>
      </x:c>
      <x:c r="N67" t="n">
        <x:f>H67+Parameters!$B$5*F67*E67*L67</x:f>
        <x:v>0.1</x:v>
      </x:c>
      <x:c r="O67" t="n">
        <x:f>I67+Parameters!$B$5*F67*L67</x:f>
        <x:v>-0.1</x:v>
      </x:c>
    </x:row>
    <x:row r="68">
      <x:c r="A68" t="n">
        <x:f>64</x:f>
        <x:v>64</x:v>
      </x:c>
      <x:c r="B68" t="n">
        <x:f>INT((A68-1)/4)+1</x:f>
        <x:v>16</x:v>
      </x:c>
      <x:c r="C68" t="n">
        <x:f>MOD(A68-1,4)+1</x:f>
        <x:v>4</x:v>
      </x:c>
      <x:c r="D68" t="n">
        <x:f>INDEX(Dataset!$B$5:$B$8,C68)</x:f>
        <x:v>1</x:v>
      </x:c>
      <x:c r="E68" t="n">
        <x:f>INDEX(Dataset!$C$5:$C$8,C68)</x:f>
        <x:v>1</x:v>
      </x:c>
      <x:c r="F68" t="n">
        <x:f>INDEX(Dataset!$D$5:$D$8,C68)</x:f>
        <x:v>1</x:v>
      </x:c>
      <x:c r="G68" t="n">
        <x:f>M67</x:f>
        <x:v>0.1</x:v>
      </x:c>
      <x:c r="H68" t="n">
        <x:f>N67</x:f>
        <x:v>0.1</x:v>
      </x:c>
      <x:c r="I68" t="n">
        <x:f>O67</x:f>
        <x:v>-0.1</x:v>
      </x:c>
      <x:c r="J68" t="n">
        <x:f>G68*D68+H68*E68+I68</x:f>
        <x:v>0.1</x:v>
      </x:c>
      <x:c r="K68" t="n">
        <x:f>IF(J68&gt;=0,1,-1)</x:f>
        <x:v>1</x:v>
      </x:c>
      <x:c r="L68" t="n">
        <x:f>IF(K68=F68,0,1)</x:f>
        <x:v>0</x:v>
      </x:c>
      <x:c r="M68" t="n">
        <x:f>G68+Parameters!$B$5*F68*D68*L68</x:f>
        <x:v>0.1</x:v>
      </x:c>
      <x:c r="N68" t="n">
        <x:f>H68+Parameters!$B$5*F68*E68*L68</x:f>
        <x:v>0.1</x:v>
      </x:c>
      <x:c r="O68" t="n">
        <x:f>I68+Parameters!$B$5*F68*L68</x:f>
        <x:v>-0.1</x:v>
      </x:c>
    </x:row>
    <x:row r="69">
      <x:c r="A69" t="n">
        <x:f>65</x:f>
        <x:v>65</x:v>
      </x:c>
      <x:c r="B69" t="n">
        <x:f>INT((A69-1)/4)+1</x:f>
        <x:v>17</x:v>
      </x:c>
      <x:c r="C69" t="n">
        <x:f>MOD(A69-1,4)+1</x:f>
        <x:v>1</x:v>
      </x:c>
      <x:c r="D69" t="n">
        <x:f>INDEX(Dataset!$B$5:$B$8,C69)</x:f>
        <x:v>-1</x:v>
      </x:c>
      <x:c r="E69" t="n">
        <x:f>INDEX(Dataset!$C$5:$C$8,C69)</x:f>
        <x:v>-1</x:v>
      </x:c>
      <x:c r="F69" t="n">
        <x:f>INDEX(Dataset!$D$5:$D$8,C69)</x:f>
        <x:v>-1</x:v>
      </x:c>
      <x:c r="G69" t="n">
        <x:f>M68</x:f>
        <x:v>0.1</x:v>
      </x:c>
      <x:c r="H69" t="n">
        <x:f>N68</x:f>
        <x:v>0.1</x:v>
      </x:c>
      <x:c r="I69" t="n">
        <x:f>O68</x:f>
        <x:v>-0.1</x:v>
      </x:c>
      <x:c r="J69" t="n">
        <x:f>G69*D69+H69*E69+I69</x:f>
        <x:v>-0.30000000000000004</x:v>
      </x:c>
      <x:c r="K69" t="n">
        <x:f>IF(J69&gt;=0,1,-1)</x:f>
        <x:v>-1</x:v>
      </x:c>
      <x:c r="L69" t="n">
        <x:f>IF(K69=F69,0,1)</x:f>
        <x:v>0</x:v>
      </x:c>
      <x:c r="M69" t="n">
        <x:f>G69+Parameters!$B$5*F69*D69*L69</x:f>
        <x:v>0.1</x:v>
      </x:c>
      <x:c r="N69" t="n">
        <x:f>H69+Parameters!$B$5*F69*E69*L69</x:f>
        <x:v>0.1</x:v>
      </x:c>
      <x:c r="O69" t="n">
        <x:f>I69+Parameters!$B$5*F69*L69</x:f>
        <x:v>-0.1</x:v>
      </x:c>
    </x:row>
    <x:row r="70">
      <x:c r="A70" t="n">
        <x:f>66</x:f>
        <x:v>66</x:v>
      </x:c>
      <x:c r="B70" t="n">
        <x:f>INT((A70-1)/4)+1</x:f>
        <x:v>17</x:v>
      </x:c>
      <x:c r="C70" t="n">
        <x:f>MOD(A70-1,4)+1</x:f>
        <x:v>2</x:v>
      </x:c>
      <x:c r="D70" t="n">
        <x:f>INDEX(Dataset!$B$5:$B$8,C70)</x:f>
        <x:v>-1</x:v>
      </x:c>
      <x:c r="E70" t="n">
        <x:f>INDEX(Dataset!$C$5:$C$8,C70)</x:f>
        <x:v>1</x:v>
      </x:c>
      <x:c r="F70" t="n">
        <x:f>INDEX(Dataset!$D$5:$D$8,C70)</x:f>
        <x:v>-1</x:v>
      </x:c>
      <x:c r="G70" t="n">
        <x:f>M69</x:f>
        <x:v>0.1</x:v>
      </x:c>
      <x:c r="H70" t="n">
        <x:f>N69</x:f>
        <x:v>0.1</x:v>
      </x:c>
      <x:c r="I70" t="n">
        <x:f>O69</x:f>
        <x:v>-0.1</x:v>
      </x:c>
      <x:c r="J70" t="n">
        <x:f>G70*D70+H70*E70+I70</x:f>
        <x:v>-0.1</x:v>
      </x:c>
      <x:c r="K70" t="n">
        <x:f>IF(J70&gt;=0,1,-1)</x:f>
        <x:v>-1</x:v>
      </x:c>
      <x:c r="L70" t="n">
        <x:f>IF(K70=F70,0,1)</x:f>
        <x:v>0</x:v>
      </x:c>
      <x:c r="M70" t="n">
        <x:f>G70+Parameters!$B$5*F70*D70*L70</x:f>
        <x:v>0.1</x:v>
      </x:c>
      <x:c r="N70" t="n">
        <x:f>H70+Parameters!$B$5*F70*E70*L70</x:f>
        <x:v>0.1</x:v>
      </x:c>
      <x:c r="O70" t="n">
        <x:f>I70+Parameters!$B$5*F70*L70</x:f>
        <x:v>-0.1</x:v>
      </x:c>
    </x:row>
    <x:row r="71">
      <x:c r="A71" t="n">
        <x:f>67</x:f>
        <x:v>67</x:v>
      </x:c>
      <x:c r="B71" t="n">
        <x:f>INT((A71-1)/4)+1</x:f>
        <x:v>17</x:v>
      </x:c>
      <x:c r="C71" t="n">
        <x:f>MOD(A71-1,4)+1</x:f>
        <x:v>3</x:v>
      </x:c>
      <x:c r="D71" t="n">
        <x:f>INDEX(Dataset!$B$5:$B$8,C71)</x:f>
        <x:v>1</x:v>
      </x:c>
      <x:c r="E71" t="n">
        <x:f>INDEX(Dataset!$C$5:$C$8,C71)</x:f>
        <x:v>-1</x:v>
      </x:c>
      <x:c r="F71" t="n">
        <x:f>INDEX(Dataset!$D$5:$D$8,C71)</x:f>
        <x:v>-1</x:v>
      </x:c>
      <x:c r="G71" t="n">
        <x:f>M70</x:f>
        <x:v>0.1</x:v>
      </x:c>
      <x:c r="H71" t="n">
        <x:f>N70</x:f>
        <x:v>0.1</x:v>
      </x:c>
      <x:c r="I71" t="n">
        <x:f>O70</x:f>
        <x:v>-0.1</x:v>
      </x:c>
      <x:c r="J71" t="n">
        <x:f>G71*D71+H71*E71+I71</x:f>
        <x:v>-0.1</x:v>
      </x:c>
      <x:c r="K71" t="n">
        <x:f>IF(J71&gt;=0,1,-1)</x:f>
        <x:v>-1</x:v>
      </x:c>
      <x:c r="L71" t="n">
        <x:f>IF(K71=F71,0,1)</x:f>
        <x:v>0</x:v>
      </x:c>
      <x:c r="M71" t="n">
        <x:f>G71+Parameters!$B$5*F71*D71*L71</x:f>
        <x:v>0.1</x:v>
      </x:c>
      <x:c r="N71" t="n">
        <x:f>H71+Parameters!$B$5*F71*E71*L71</x:f>
        <x:v>0.1</x:v>
      </x:c>
      <x:c r="O71" t="n">
        <x:f>I71+Parameters!$B$5*F71*L71</x:f>
        <x:v>-0.1</x:v>
      </x:c>
    </x:row>
    <x:row r="72">
      <x:c r="A72" t="n">
        <x:f>68</x:f>
        <x:v>68</x:v>
      </x:c>
      <x:c r="B72" t="n">
        <x:f>INT((A72-1)/4)+1</x:f>
        <x:v>17</x:v>
      </x:c>
      <x:c r="C72" t="n">
        <x:f>MOD(A72-1,4)+1</x:f>
        <x:v>4</x:v>
      </x:c>
      <x:c r="D72" t="n">
        <x:f>INDEX(Dataset!$B$5:$B$8,C72)</x:f>
        <x:v>1</x:v>
      </x:c>
      <x:c r="E72" t="n">
        <x:f>INDEX(Dataset!$C$5:$C$8,C72)</x:f>
        <x:v>1</x:v>
      </x:c>
      <x:c r="F72" t="n">
        <x:f>INDEX(Dataset!$D$5:$D$8,C72)</x:f>
        <x:v>1</x:v>
      </x:c>
      <x:c r="G72" t="n">
        <x:f>M71</x:f>
        <x:v>0.1</x:v>
      </x:c>
      <x:c r="H72" t="n">
        <x:f>N71</x:f>
        <x:v>0.1</x:v>
      </x:c>
      <x:c r="I72" t="n">
        <x:f>O71</x:f>
        <x:v>-0.1</x:v>
      </x:c>
      <x:c r="J72" t="n">
        <x:f>G72*D72+H72*E72+I72</x:f>
        <x:v>0.1</x:v>
      </x:c>
      <x:c r="K72" t="n">
        <x:f>IF(J72&gt;=0,1,-1)</x:f>
        <x:v>1</x:v>
      </x:c>
      <x:c r="L72" t="n">
        <x:f>IF(K72=F72,0,1)</x:f>
        <x:v>0</x:v>
      </x:c>
      <x:c r="M72" t="n">
        <x:f>G72+Parameters!$B$5*F72*D72*L72</x:f>
        <x:v>0.1</x:v>
      </x:c>
      <x:c r="N72" t="n">
        <x:f>H72+Parameters!$B$5*F72*E72*L72</x:f>
        <x:v>0.1</x:v>
      </x:c>
      <x:c r="O72" t="n">
        <x:f>I72+Parameters!$B$5*F72*L72</x:f>
        <x:v>-0.1</x:v>
      </x:c>
    </x:row>
    <x:row r="73">
      <x:c r="A73" t="n">
        <x:f>69</x:f>
        <x:v>69</x:v>
      </x:c>
      <x:c r="B73" t="n">
        <x:f>INT((A73-1)/4)+1</x:f>
        <x:v>18</x:v>
      </x:c>
      <x:c r="C73" t="n">
        <x:f>MOD(A73-1,4)+1</x:f>
        <x:v>1</x:v>
      </x:c>
      <x:c r="D73" t="n">
        <x:f>INDEX(Dataset!$B$5:$B$8,C73)</x:f>
        <x:v>-1</x:v>
      </x:c>
      <x:c r="E73" t="n">
        <x:f>INDEX(Dataset!$C$5:$C$8,C73)</x:f>
        <x:v>-1</x:v>
      </x:c>
      <x:c r="F73" t="n">
        <x:f>INDEX(Dataset!$D$5:$D$8,C73)</x:f>
        <x:v>-1</x:v>
      </x:c>
      <x:c r="G73" t="n">
        <x:f>M72</x:f>
        <x:v>0.1</x:v>
      </x:c>
      <x:c r="H73" t="n">
        <x:f>N72</x:f>
        <x:v>0.1</x:v>
      </x:c>
      <x:c r="I73" t="n">
        <x:f>O72</x:f>
        <x:v>-0.1</x:v>
      </x:c>
      <x:c r="J73" t="n">
        <x:f>G73*D73+H73*E73+I73</x:f>
        <x:v>-0.30000000000000004</x:v>
      </x:c>
      <x:c r="K73" t="n">
        <x:f>IF(J73&gt;=0,1,-1)</x:f>
        <x:v>-1</x:v>
      </x:c>
      <x:c r="L73" t="n">
        <x:f>IF(K73=F73,0,1)</x:f>
        <x:v>0</x:v>
      </x:c>
      <x:c r="M73" t="n">
        <x:f>G73+Parameters!$B$5*F73*D73*L73</x:f>
        <x:v>0.1</x:v>
      </x:c>
      <x:c r="N73" t="n">
        <x:f>H73+Parameters!$B$5*F73*E73*L73</x:f>
        <x:v>0.1</x:v>
      </x:c>
      <x:c r="O73" t="n">
        <x:f>I73+Parameters!$B$5*F73*L73</x:f>
        <x:v>-0.1</x:v>
      </x:c>
    </x:row>
    <x:row r="74">
      <x:c r="A74" t="n">
        <x:f>70</x:f>
        <x:v>70</x:v>
      </x:c>
      <x:c r="B74" t="n">
        <x:f>INT((A74-1)/4)+1</x:f>
        <x:v>18</x:v>
      </x:c>
      <x:c r="C74" t="n">
        <x:f>MOD(A74-1,4)+1</x:f>
        <x:v>2</x:v>
      </x:c>
      <x:c r="D74" t="n">
        <x:f>INDEX(Dataset!$B$5:$B$8,C74)</x:f>
        <x:v>-1</x:v>
      </x:c>
      <x:c r="E74" t="n">
        <x:f>INDEX(Dataset!$C$5:$C$8,C74)</x:f>
        <x:v>1</x:v>
      </x:c>
      <x:c r="F74" t="n">
        <x:f>INDEX(Dataset!$D$5:$D$8,C74)</x:f>
        <x:v>-1</x:v>
      </x:c>
      <x:c r="G74" t="n">
        <x:f>M73</x:f>
        <x:v>0.1</x:v>
      </x:c>
      <x:c r="H74" t="n">
        <x:f>N73</x:f>
        <x:v>0.1</x:v>
      </x:c>
      <x:c r="I74" t="n">
        <x:f>O73</x:f>
        <x:v>-0.1</x:v>
      </x:c>
      <x:c r="J74" t="n">
        <x:f>G74*D74+H74*E74+I74</x:f>
        <x:v>-0.1</x:v>
      </x:c>
      <x:c r="K74" t="n">
        <x:f>IF(J74&gt;=0,1,-1)</x:f>
        <x:v>-1</x:v>
      </x:c>
      <x:c r="L74" t="n">
        <x:f>IF(K74=F74,0,1)</x:f>
        <x:v>0</x:v>
      </x:c>
      <x:c r="M74" t="n">
        <x:f>G74+Parameters!$B$5*F74*D74*L74</x:f>
        <x:v>0.1</x:v>
      </x:c>
      <x:c r="N74" t="n">
        <x:f>H74+Parameters!$B$5*F74*E74*L74</x:f>
        <x:v>0.1</x:v>
      </x:c>
      <x:c r="O74" t="n">
        <x:f>I74+Parameters!$B$5*F74*L74</x:f>
        <x:v>-0.1</x:v>
      </x:c>
    </x:row>
    <x:row r="75">
      <x:c r="A75" t="n">
        <x:f>71</x:f>
        <x:v>71</x:v>
      </x:c>
      <x:c r="B75" t="n">
        <x:f>INT((A75-1)/4)+1</x:f>
        <x:v>18</x:v>
      </x:c>
      <x:c r="C75" t="n">
        <x:f>MOD(A75-1,4)+1</x:f>
        <x:v>3</x:v>
      </x:c>
      <x:c r="D75" t="n">
        <x:f>INDEX(Dataset!$B$5:$B$8,C75)</x:f>
        <x:v>1</x:v>
      </x:c>
      <x:c r="E75" t="n">
        <x:f>INDEX(Dataset!$C$5:$C$8,C75)</x:f>
        <x:v>-1</x:v>
      </x:c>
      <x:c r="F75" t="n">
        <x:f>INDEX(Dataset!$D$5:$D$8,C75)</x:f>
        <x:v>-1</x:v>
      </x:c>
      <x:c r="G75" t="n">
        <x:f>M74</x:f>
        <x:v>0.1</x:v>
      </x:c>
      <x:c r="H75" t="n">
        <x:f>N74</x:f>
        <x:v>0.1</x:v>
      </x:c>
      <x:c r="I75" t="n">
        <x:f>O74</x:f>
        <x:v>-0.1</x:v>
      </x:c>
      <x:c r="J75" t="n">
        <x:f>G75*D75+H75*E75+I75</x:f>
        <x:v>-0.1</x:v>
      </x:c>
      <x:c r="K75" t="n">
        <x:f>IF(J75&gt;=0,1,-1)</x:f>
        <x:v>-1</x:v>
      </x:c>
      <x:c r="L75" t="n">
        <x:f>IF(K75=F75,0,1)</x:f>
        <x:v>0</x:v>
      </x:c>
      <x:c r="M75" t="n">
        <x:f>G75+Parameters!$B$5*F75*D75*L75</x:f>
        <x:v>0.1</x:v>
      </x:c>
      <x:c r="N75" t="n">
        <x:f>H75+Parameters!$B$5*F75*E75*L75</x:f>
        <x:v>0.1</x:v>
      </x:c>
      <x:c r="O75" t="n">
        <x:f>I75+Parameters!$B$5*F75*L75</x:f>
        <x:v>-0.1</x:v>
      </x:c>
    </x:row>
    <x:row r="76">
      <x:c r="A76" t="n">
        <x:f>72</x:f>
        <x:v>72</x:v>
      </x:c>
      <x:c r="B76" t="n">
        <x:f>INT((A76-1)/4)+1</x:f>
        <x:v>18</x:v>
      </x:c>
      <x:c r="C76" t="n">
        <x:f>MOD(A76-1,4)+1</x:f>
        <x:v>4</x:v>
      </x:c>
      <x:c r="D76" t="n">
        <x:f>INDEX(Dataset!$B$5:$B$8,C76)</x:f>
        <x:v>1</x:v>
      </x:c>
      <x:c r="E76" t="n">
        <x:f>INDEX(Dataset!$C$5:$C$8,C76)</x:f>
        <x:v>1</x:v>
      </x:c>
      <x:c r="F76" t="n">
        <x:f>INDEX(Dataset!$D$5:$D$8,C76)</x:f>
        <x:v>1</x:v>
      </x:c>
      <x:c r="G76" t="n">
        <x:f>M75</x:f>
        <x:v>0.1</x:v>
      </x:c>
      <x:c r="H76" t="n">
        <x:f>N75</x:f>
        <x:v>0.1</x:v>
      </x:c>
      <x:c r="I76" t="n">
        <x:f>O75</x:f>
        <x:v>-0.1</x:v>
      </x:c>
      <x:c r="J76" t="n">
        <x:f>G76*D76+H76*E76+I76</x:f>
        <x:v>0.1</x:v>
      </x:c>
      <x:c r="K76" t="n">
        <x:f>IF(J76&gt;=0,1,-1)</x:f>
        <x:v>1</x:v>
      </x:c>
      <x:c r="L76" t="n">
        <x:f>IF(K76=F76,0,1)</x:f>
        <x:v>0</x:v>
      </x:c>
      <x:c r="M76" t="n">
        <x:f>G76+Parameters!$B$5*F76*D76*L76</x:f>
        <x:v>0.1</x:v>
      </x:c>
      <x:c r="N76" t="n">
        <x:f>H76+Parameters!$B$5*F76*E76*L76</x:f>
        <x:v>0.1</x:v>
      </x:c>
      <x:c r="O76" t="n">
        <x:f>I76+Parameters!$B$5*F76*L76</x:f>
        <x:v>-0.1</x:v>
      </x:c>
    </x:row>
    <x:row r="77">
      <x:c r="A77" t="n">
        <x:f>73</x:f>
        <x:v>73</x:v>
      </x:c>
      <x:c r="B77" t="n">
        <x:f>INT((A77-1)/4)+1</x:f>
        <x:v>19</x:v>
      </x:c>
      <x:c r="C77" t="n">
        <x:f>MOD(A77-1,4)+1</x:f>
        <x:v>1</x:v>
      </x:c>
      <x:c r="D77" t="n">
        <x:f>INDEX(Dataset!$B$5:$B$8,C77)</x:f>
        <x:v>-1</x:v>
      </x:c>
      <x:c r="E77" t="n">
        <x:f>INDEX(Dataset!$C$5:$C$8,C77)</x:f>
        <x:v>-1</x:v>
      </x:c>
      <x:c r="F77" t="n">
        <x:f>INDEX(Dataset!$D$5:$D$8,C77)</x:f>
        <x:v>-1</x:v>
      </x:c>
      <x:c r="G77" t="n">
        <x:f>M76</x:f>
        <x:v>0.1</x:v>
      </x:c>
      <x:c r="H77" t="n">
        <x:f>N76</x:f>
        <x:v>0.1</x:v>
      </x:c>
      <x:c r="I77" t="n">
        <x:f>O76</x:f>
        <x:v>-0.1</x:v>
      </x:c>
      <x:c r="J77" t="n">
        <x:f>G77*D77+H77*E77+I77</x:f>
        <x:v>-0.30000000000000004</x:v>
      </x:c>
      <x:c r="K77" t="n">
        <x:f>IF(J77&gt;=0,1,-1)</x:f>
        <x:v>-1</x:v>
      </x:c>
      <x:c r="L77" t="n">
        <x:f>IF(K77=F77,0,1)</x:f>
        <x:v>0</x:v>
      </x:c>
      <x:c r="M77" t="n">
        <x:f>G77+Parameters!$B$5*F77*D77*L77</x:f>
        <x:v>0.1</x:v>
      </x:c>
      <x:c r="N77" t="n">
        <x:f>H77+Parameters!$B$5*F77*E77*L77</x:f>
        <x:v>0.1</x:v>
      </x:c>
      <x:c r="O77" t="n">
        <x:f>I77+Parameters!$B$5*F77*L77</x:f>
        <x:v>-0.1</x:v>
      </x:c>
    </x:row>
    <x:row r="78">
      <x:c r="A78" t="n">
        <x:f>74</x:f>
        <x:v>74</x:v>
      </x:c>
      <x:c r="B78" t="n">
        <x:f>INT((A78-1)/4)+1</x:f>
        <x:v>19</x:v>
      </x:c>
      <x:c r="C78" t="n">
        <x:f>MOD(A78-1,4)+1</x:f>
        <x:v>2</x:v>
      </x:c>
      <x:c r="D78" t="n">
        <x:f>INDEX(Dataset!$B$5:$B$8,C78)</x:f>
        <x:v>-1</x:v>
      </x:c>
      <x:c r="E78" t="n">
        <x:f>INDEX(Dataset!$C$5:$C$8,C78)</x:f>
        <x:v>1</x:v>
      </x:c>
      <x:c r="F78" t="n">
        <x:f>INDEX(Dataset!$D$5:$D$8,C78)</x:f>
        <x:v>-1</x:v>
      </x:c>
      <x:c r="G78" t="n">
        <x:f>M77</x:f>
        <x:v>0.1</x:v>
      </x:c>
      <x:c r="H78" t="n">
        <x:f>N77</x:f>
        <x:v>0.1</x:v>
      </x:c>
      <x:c r="I78" t="n">
        <x:f>O77</x:f>
        <x:v>-0.1</x:v>
      </x:c>
      <x:c r="J78" t="n">
        <x:f>G78*D78+H78*E78+I78</x:f>
        <x:v>-0.1</x:v>
      </x:c>
      <x:c r="K78" t="n">
        <x:f>IF(J78&gt;=0,1,-1)</x:f>
        <x:v>-1</x:v>
      </x:c>
      <x:c r="L78" t="n">
        <x:f>IF(K78=F78,0,1)</x:f>
        <x:v>0</x:v>
      </x:c>
      <x:c r="M78" t="n">
        <x:f>G78+Parameters!$B$5*F78*D78*L78</x:f>
        <x:v>0.1</x:v>
      </x:c>
      <x:c r="N78" t="n">
        <x:f>H78+Parameters!$B$5*F78*E78*L78</x:f>
        <x:v>0.1</x:v>
      </x:c>
      <x:c r="O78" t="n">
        <x:f>I78+Parameters!$B$5*F78*L78</x:f>
        <x:v>-0.1</x:v>
      </x:c>
    </x:row>
    <x:row r="79">
      <x:c r="A79" t="n">
        <x:f>75</x:f>
        <x:v>75</x:v>
      </x:c>
      <x:c r="B79" t="n">
        <x:f>INT((A79-1)/4)+1</x:f>
        <x:v>19</x:v>
      </x:c>
      <x:c r="C79" t="n">
        <x:f>MOD(A79-1,4)+1</x:f>
        <x:v>3</x:v>
      </x:c>
      <x:c r="D79" t="n">
        <x:f>INDEX(Dataset!$B$5:$B$8,C79)</x:f>
        <x:v>1</x:v>
      </x:c>
      <x:c r="E79" t="n">
        <x:f>INDEX(Dataset!$C$5:$C$8,C79)</x:f>
        <x:v>-1</x:v>
      </x:c>
      <x:c r="F79" t="n">
        <x:f>INDEX(Dataset!$D$5:$D$8,C79)</x:f>
        <x:v>-1</x:v>
      </x:c>
      <x:c r="G79" t="n">
        <x:f>M78</x:f>
        <x:v>0.1</x:v>
      </x:c>
      <x:c r="H79" t="n">
        <x:f>N78</x:f>
        <x:v>0.1</x:v>
      </x:c>
      <x:c r="I79" t="n">
        <x:f>O78</x:f>
        <x:v>-0.1</x:v>
      </x:c>
      <x:c r="J79" t="n">
        <x:f>G79*D79+H79*E79+I79</x:f>
        <x:v>-0.1</x:v>
      </x:c>
      <x:c r="K79" t="n">
        <x:f>IF(J79&gt;=0,1,-1)</x:f>
        <x:v>-1</x:v>
      </x:c>
      <x:c r="L79" t="n">
        <x:f>IF(K79=F79,0,1)</x:f>
        <x:v>0</x:v>
      </x:c>
      <x:c r="M79" t="n">
        <x:f>G79+Parameters!$B$5*F79*D79*L79</x:f>
        <x:v>0.1</x:v>
      </x:c>
      <x:c r="N79" t="n">
        <x:f>H79+Parameters!$B$5*F79*E79*L79</x:f>
        <x:v>0.1</x:v>
      </x:c>
      <x:c r="O79" t="n">
        <x:f>I79+Parameters!$B$5*F79*L79</x:f>
        <x:v>-0.1</x:v>
      </x:c>
    </x:row>
    <x:row r="80">
      <x:c r="A80" t="n">
        <x:f>76</x:f>
        <x:v>76</x:v>
      </x:c>
      <x:c r="B80" t="n">
        <x:f>INT((A80-1)/4)+1</x:f>
        <x:v>19</x:v>
      </x:c>
      <x:c r="C80" t="n">
        <x:f>MOD(A80-1,4)+1</x:f>
        <x:v>4</x:v>
      </x:c>
      <x:c r="D80" t="n">
        <x:f>INDEX(Dataset!$B$5:$B$8,C80)</x:f>
        <x:v>1</x:v>
      </x:c>
      <x:c r="E80" t="n">
        <x:f>INDEX(Dataset!$C$5:$C$8,C80)</x:f>
        <x:v>1</x:v>
      </x:c>
      <x:c r="F80" t="n">
        <x:f>INDEX(Dataset!$D$5:$D$8,C80)</x:f>
        <x:v>1</x:v>
      </x:c>
      <x:c r="G80" t="n">
        <x:f>M79</x:f>
        <x:v>0.1</x:v>
      </x:c>
      <x:c r="H80" t="n">
        <x:f>N79</x:f>
        <x:v>0.1</x:v>
      </x:c>
      <x:c r="I80" t="n">
        <x:f>O79</x:f>
        <x:v>-0.1</x:v>
      </x:c>
      <x:c r="J80" t="n">
        <x:f>G80*D80+H80*E80+I80</x:f>
        <x:v>0.1</x:v>
      </x:c>
      <x:c r="K80" t="n">
        <x:f>IF(J80&gt;=0,1,-1)</x:f>
        <x:v>1</x:v>
      </x:c>
      <x:c r="L80" t="n">
        <x:f>IF(K80=F80,0,1)</x:f>
        <x:v>0</x:v>
      </x:c>
      <x:c r="M80" t="n">
        <x:f>G80+Parameters!$B$5*F80*D80*L80</x:f>
        <x:v>0.1</x:v>
      </x:c>
      <x:c r="N80" t="n">
        <x:f>H80+Parameters!$B$5*F80*E80*L80</x:f>
        <x:v>0.1</x:v>
      </x:c>
      <x:c r="O80" t="n">
        <x:f>I80+Parameters!$B$5*F80*L80</x:f>
        <x:v>-0.1</x:v>
      </x:c>
    </x:row>
    <x:row r="81">
      <x:c r="A81" t="n">
        <x:f>77</x:f>
        <x:v>77</x:v>
      </x:c>
      <x:c r="B81" t="n">
        <x:f>INT((A81-1)/4)+1</x:f>
        <x:v>20</x:v>
      </x:c>
      <x:c r="C81" t="n">
        <x:f>MOD(A81-1,4)+1</x:f>
        <x:v>1</x:v>
      </x:c>
      <x:c r="D81" t="n">
        <x:f>INDEX(Dataset!$B$5:$B$8,C81)</x:f>
        <x:v>-1</x:v>
      </x:c>
      <x:c r="E81" t="n">
        <x:f>INDEX(Dataset!$C$5:$C$8,C81)</x:f>
        <x:v>-1</x:v>
      </x:c>
      <x:c r="F81" t="n">
        <x:f>INDEX(Dataset!$D$5:$D$8,C81)</x:f>
        <x:v>-1</x:v>
      </x:c>
      <x:c r="G81" t="n">
        <x:f>M80</x:f>
        <x:v>0.1</x:v>
      </x:c>
      <x:c r="H81" t="n">
        <x:f>N80</x:f>
        <x:v>0.1</x:v>
      </x:c>
      <x:c r="I81" t="n">
        <x:f>O80</x:f>
        <x:v>-0.1</x:v>
      </x:c>
      <x:c r="J81" t="n">
        <x:f>G81*D81+H81*E81+I81</x:f>
        <x:v>-0.30000000000000004</x:v>
      </x:c>
      <x:c r="K81" t="n">
        <x:f>IF(J81&gt;=0,1,-1)</x:f>
        <x:v>-1</x:v>
      </x:c>
      <x:c r="L81" t="n">
        <x:f>IF(K81=F81,0,1)</x:f>
        <x:v>0</x:v>
      </x:c>
      <x:c r="M81" t="n">
        <x:f>G81+Parameters!$B$5*F81*D81*L81</x:f>
        <x:v>0.1</x:v>
      </x:c>
      <x:c r="N81" t="n">
        <x:f>H81+Parameters!$B$5*F81*E81*L81</x:f>
        <x:v>0.1</x:v>
      </x:c>
      <x:c r="O81" t="n">
        <x:f>I81+Parameters!$B$5*F81*L81</x:f>
        <x:v>-0.1</x:v>
      </x:c>
    </x:row>
    <x:row r="82">
      <x:c r="A82" t="n">
        <x:f>78</x:f>
        <x:v>78</x:v>
      </x:c>
      <x:c r="B82" t="n">
        <x:f>INT((A82-1)/4)+1</x:f>
        <x:v>20</x:v>
      </x:c>
      <x:c r="C82" t="n">
        <x:f>MOD(A82-1,4)+1</x:f>
        <x:v>2</x:v>
      </x:c>
      <x:c r="D82" t="n">
        <x:f>INDEX(Dataset!$B$5:$B$8,C82)</x:f>
        <x:v>-1</x:v>
      </x:c>
      <x:c r="E82" t="n">
        <x:f>INDEX(Dataset!$C$5:$C$8,C82)</x:f>
        <x:v>1</x:v>
      </x:c>
      <x:c r="F82" t="n">
        <x:f>INDEX(Dataset!$D$5:$D$8,C82)</x:f>
        <x:v>-1</x:v>
      </x:c>
      <x:c r="G82" t="n">
        <x:f>M81</x:f>
        <x:v>0.1</x:v>
      </x:c>
      <x:c r="H82" t="n">
        <x:f>N81</x:f>
        <x:v>0.1</x:v>
      </x:c>
      <x:c r="I82" t="n">
        <x:f>O81</x:f>
        <x:v>-0.1</x:v>
      </x:c>
      <x:c r="J82" t="n">
        <x:f>G82*D82+H82*E82+I82</x:f>
        <x:v>-0.1</x:v>
      </x:c>
      <x:c r="K82" t="n">
        <x:f>IF(J82&gt;=0,1,-1)</x:f>
        <x:v>-1</x:v>
      </x:c>
      <x:c r="L82" t="n">
        <x:f>IF(K82=F82,0,1)</x:f>
        <x:v>0</x:v>
      </x:c>
      <x:c r="M82" t="n">
        <x:f>G82+Parameters!$B$5*F82*D82*L82</x:f>
        <x:v>0.1</x:v>
      </x:c>
      <x:c r="N82" t="n">
        <x:f>H82+Parameters!$B$5*F82*E82*L82</x:f>
        <x:v>0.1</x:v>
      </x:c>
      <x:c r="O82" t="n">
        <x:f>I82+Parameters!$B$5*F82*L82</x:f>
        <x:v>-0.1</x:v>
      </x:c>
    </x:row>
    <x:row r="83">
      <x:c r="A83" t="n">
        <x:f>79</x:f>
        <x:v>79</x:v>
      </x:c>
      <x:c r="B83" t="n">
        <x:f>INT((A83-1)/4)+1</x:f>
        <x:v>20</x:v>
      </x:c>
      <x:c r="C83" t="n">
        <x:f>MOD(A83-1,4)+1</x:f>
        <x:v>3</x:v>
      </x:c>
      <x:c r="D83" t="n">
        <x:f>INDEX(Dataset!$B$5:$B$8,C83)</x:f>
        <x:v>1</x:v>
      </x:c>
      <x:c r="E83" t="n">
        <x:f>INDEX(Dataset!$C$5:$C$8,C83)</x:f>
        <x:v>-1</x:v>
      </x:c>
      <x:c r="F83" t="n">
        <x:f>INDEX(Dataset!$D$5:$D$8,C83)</x:f>
        <x:v>-1</x:v>
      </x:c>
      <x:c r="G83" t="n">
        <x:f>M82</x:f>
        <x:v>0.1</x:v>
      </x:c>
      <x:c r="H83" t="n">
        <x:f>N82</x:f>
        <x:v>0.1</x:v>
      </x:c>
      <x:c r="I83" t="n">
        <x:f>O82</x:f>
        <x:v>-0.1</x:v>
      </x:c>
      <x:c r="J83" t="n">
        <x:f>G83*D83+H83*E83+I83</x:f>
        <x:v>-0.1</x:v>
      </x:c>
      <x:c r="K83" t="n">
        <x:f>IF(J83&gt;=0,1,-1)</x:f>
        <x:v>-1</x:v>
      </x:c>
      <x:c r="L83" t="n">
        <x:f>IF(K83=F83,0,1)</x:f>
        <x:v>0</x:v>
      </x:c>
      <x:c r="M83" t="n">
        <x:f>G83+Parameters!$B$5*F83*D83*L83</x:f>
        <x:v>0.1</x:v>
      </x:c>
      <x:c r="N83" t="n">
        <x:f>H83+Parameters!$B$5*F83*E83*L83</x:f>
        <x:v>0.1</x:v>
      </x:c>
      <x:c r="O83" t="n">
        <x:f>I83+Parameters!$B$5*F83*L83</x:f>
        <x:v>-0.1</x:v>
      </x:c>
    </x:row>
    <x:row r="84">
      <x:c r="A84" t="n">
        <x:f>80</x:f>
        <x:v>80</x:v>
      </x:c>
      <x:c r="B84" t="n">
        <x:f>INT((A84-1)/4)+1</x:f>
        <x:v>20</x:v>
      </x:c>
      <x:c r="C84" t="n">
        <x:f>MOD(A84-1,4)+1</x:f>
        <x:v>4</x:v>
      </x:c>
      <x:c r="D84" t="n">
        <x:f>INDEX(Dataset!$B$5:$B$8,C84)</x:f>
        <x:v>1</x:v>
      </x:c>
      <x:c r="E84" t="n">
        <x:f>INDEX(Dataset!$C$5:$C$8,C84)</x:f>
        <x:v>1</x:v>
      </x:c>
      <x:c r="F84" t="n">
        <x:f>INDEX(Dataset!$D$5:$D$8,C84)</x:f>
        <x:v>1</x:v>
      </x:c>
      <x:c r="G84" t="n">
        <x:f>M83</x:f>
        <x:v>0.1</x:v>
      </x:c>
      <x:c r="H84" t="n">
        <x:f>N83</x:f>
        <x:v>0.1</x:v>
      </x:c>
      <x:c r="I84" t="n">
        <x:f>O83</x:f>
        <x:v>-0.1</x:v>
      </x:c>
      <x:c r="J84" t="n">
        <x:f>G84*D84+H84*E84+I84</x:f>
        <x:v>0.1</x:v>
      </x:c>
      <x:c r="K84" t="n">
        <x:f>IF(J84&gt;=0,1,-1)</x:f>
        <x:v>1</x:v>
      </x:c>
      <x:c r="L84" t="n">
        <x:f>IF(K84=F84,0,1)</x:f>
        <x:v>0</x:v>
      </x:c>
      <x:c r="M84" t="n">
        <x:f>G84+Parameters!$B$5*F84*D84*L84</x:f>
        <x:v>0.1</x:v>
      </x:c>
      <x:c r="N84" t="n">
        <x:f>H84+Parameters!$B$5*F84*E84*L84</x:f>
        <x:v>0.1</x:v>
      </x:c>
      <x:c r="O84" t="n">
        <x:f>I84+Parameters!$B$5*F84*L84</x:f>
        <x:v>-0.1</x:v>
      </x:c>
    </x:row>
  </x:sheetData>
  <x:mergeCells>
    <x:mergeCell ref="A1:O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2" hidden="0" customWidth="1"/>
  </x:cols>
  <x:sheetData>
    <x:row r="1" ht="26" customHeight="1">
      <x:c r="A1" s="3" t="str">
        <x:v>PERCEPTRON | EPOCH ANALYSIS</x:v>
      </x:c>
      <x:c r="B1" s="3"/>
      <x:c r="C1" s="3"/>
      <x:c r="D1" s="3"/>
      <x:c r="E1" s="3"/>
      <x:c r="F1" s="3"/>
      <x:c r="G1" s="3"/>
    </x:row>
    <x:row r="2" ht="26" customHeight="1">
      <x:c r="A2" s="3"/>
      <x:c r="B2" s="3"/>
      <x:c r="C2" s="3"/>
      <x:c r="D2" s="3"/>
      <x:c r="E2" s="3"/>
      <x:c r="F2" s="3"/>
      <x:c r="G2" s="3"/>
    </x:row>
    <x:row r="4" ht="27" customHeight="1">
      <x:c r="A4" s="7" t="str">
        <x:v>Epoch</x:v>
      </x:c>
      <x:c r="B4" s="7" t="str">
        <x:v>Training mistakes</x:v>
      </x:c>
      <x:c r="C4" s="7" t="str">
        <x:v>End w1</x:v>
      </x:c>
      <x:c r="D4" s="7" t="str">
        <x:v>End w2</x:v>
      </x:c>
      <x:c r="E4" s="7" t="str">
        <x:v>End bias</x:v>
      </x:c>
    </x:row>
    <x:row r="5">
      <x:c r="A5" t="n">
        <x:f>1</x:f>
        <x:v>1</x:v>
      </x:c>
      <x:c r="B5" t="n">
        <x:f>SUM(Training!L5:L8)</x:f>
        <x:v>1</x:v>
      </x:c>
      <x:c r="C5" t="n">
        <x:f>Training!M8</x:f>
        <x:v>0.1</x:v>
      </x:c>
      <x:c r="D5" t="n">
        <x:f>Training!N8</x:f>
        <x:v>0.1</x:v>
      </x:c>
      <x:c r="E5" t="n">
        <x:f>Training!O8</x:f>
        <x:v>-0.1</x:v>
      </x:c>
    </x:row>
    <x:row r="6">
      <x:c r="A6" t="n">
        <x:f>2</x:f>
        <x:v>2</x:v>
      </x:c>
      <x:c r="B6" t="n">
        <x:f>SUM(Training!L9:L12)</x:f>
        <x:v>0</x:v>
      </x:c>
      <x:c r="C6" t="n">
        <x:f>Training!M12</x:f>
        <x:v>0.1</x:v>
      </x:c>
      <x:c r="D6" t="n">
        <x:f>Training!N12</x:f>
        <x:v>0.1</x:v>
      </x:c>
      <x:c r="E6" t="n">
        <x:f>Training!O12</x:f>
        <x:v>-0.1</x:v>
      </x:c>
    </x:row>
    <x:row r="7">
      <x:c r="A7" t="n">
        <x:f>3</x:f>
        <x:v>3</x:v>
      </x:c>
      <x:c r="B7" t="n">
        <x:f>SUM(Training!L13:L16)</x:f>
        <x:v>0</x:v>
      </x:c>
      <x:c r="C7" t="n">
        <x:f>Training!M16</x:f>
        <x:v>0.1</x:v>
      </x:c>
      <x:c r="D7" t="n">
        <x:f>Training!N16</x:f>
        <x:v>0.1</x:v>
      </x:c>
      <x:c r="E7" t="n">
        <x:f>Training!O16</x:f>
        <x:v>-0.1</x:v>
      </x:c>
    </x:row>
    <x:row r="8">
      <x:c r="A8" t="n">
        <x:f>4</x:f>
        <x:v>4</x:v>
      </x:c>
      <x:c r="B8" t="n">
        <x:f>SUM(Training!L17:L20)</x:f>
        <x:v>0</x:v>
      </x:c>
      <x:c r="C8" t="n">
        <x:f>Training!M20</x:f>
        <x:v>0.1</x:v>
      </x:c>
      <x:c r="D8" t="n">
        <x:f>Training!N20</x:f>
        <x:v>0.1</x:v>
      </x:c>
      <x:c r="E8" t="n">
        <x:f>Training!O20</x:f>
        <x:v>-0.1</x:v>
      </x:c>
    </x:row>
    <x:row r="9">
      <x:c r="A9" t="n">
        <x:f>5</x:f>
        <x:v>5</x:v>
      </x:c>
      <x:c r="B9" t="n">
        <x:f>SUM(Training!L21:L24)</x:f>
        <x:v>0</x:v>
      </x:c>
      <x:c r="C9" t="n">
        <x:f>Training!M24</x:f>
        <x:v>0.1</x:v>
      </x:c>
      <x:c r="D9" t="n">
        <x:f>Training!N24</x:f>
        <x:v>0.1</x:v>
      </x:c>
      <x:c r="E9" t="n">
        <x:f>Training!O24</x:f>
        <x:v>-0.1</x:v>
      </x:c>
    </x:row>
    <x:row r="10">
      <x:c r="A10" t="n">
        <x:f>6</x:f>
        <x:v>6</x:v>
      </x:c>
      <x:c r="B10" t="n">
        <x:f>SUM(Training!L25:L28)</x:f>
        <x:v>0</x:v>
      </x:c>
      <x:c r="C10" t="n">
        <x:f>Training!M28</x:f>
        <x:v>0.1</x:v>
      </x:c>
      <x:c r="D10" t="n">
        <x:f>Training!N28</x:f>
        <x:v>0.1</x:v>
      </x:c>
      <x:c r="E10" t="n">
        <x:f>Training!O28</x:f>
        <x:v>-0.1</x:v>
      </x:c>
    </x:row>
    <x:row r="11">
      <x:c r="A11" t="n">
        <x:f>7</x:f>
        <x:v>7</x:v>
      </x:c>
      <x:c r="B11" t="n">
        <x:f>SUM(Training!L29:L32)</x:f>
        <x:v>0</x:v>
      </x:c>
      <x:c r="C11" t="n">
        <x:f>Training!M32</x:f>
        <x:v>0.1</x:v>
      </x:c>
      <x:c r="D11" t="n">
        <x:f>Training!N32</x:f>
        <x:v>0.1</x:v>
      </x:c>
      <x:c r="E11" t="n">
        <x:f>Training!O32</x:f>
        <x:v>-0.1</x:v>
      </x:c>
    </x:row>
    <x:row r="12">
      <x:c r="A12" t="n">
        <x:f>8</x:f>
        <x:v>8</x:v>
      </x:c>
      <x:c r="B12" t="n">
        <x:f>SUM(Training!L33:L36)</x:f>
        <x:v>0</x:v>
      </x:c>
      <x:c r="C12" t="n">
        <x:f>Training!M36</x:f>
        <x:v>0.1</x:v>
      </x:c>
      <x:c r="D12" t="n">
        <x:f>Training!N36</x:f>
        <x:v>0.1</x:v>
      </x:c>
      <x:c r="E12" t="n">
        <x:f>Training!O36</x:f>
        <x:v>-0.1</x:v>
      </x:c>
    </x:row>
    <x:row r="13">
      <x:c r="A13" t="n">
        <x:f>9</x:f>
        <x:v>9</x:v>
      </x:c>
      <x:c r="B13" t="n">
        <x:f>SUM(Training!L37:L40)</x:f>
        <x:v>0</x:v>
      </x:c>
      <x:c r="C13" t="n">
        <x:f>Training!M40</x:f>
        <x:v>0.1</x:v>
      </x:c>
      <x:c r="D13" t="n">
        <x:f>Training!N40</x:f>
        <x:v>0.1</x:v>
      </x:c>
      <x:c r="E13" t="n">
        <x:f>Training!O40</x:f>
        <x:v>-0.1</x:v>
      </x:c>
    </x:row>
    <x:row r="14">
      <x:c r="A14" t="n">
        <x:f>10</x:f>
        <x:v>10</x:v>
      </x:c>
      <x:c r="B14" t="n">
        <x:f>SUM(Training!L41:L44)</x:f>
        <x:v>0</x:v>
      </x:c>
      <x:c r="C14" t="n">
        <x:f>Training!M44</x:f>
        <x:v>0.1</x:v>
      </x:c>
      <x:c r="D14" t="n">
        <x:f>Training!N44</x:f>
        <x:v>0.1</x:v>
      </x:c>
      <x:c r="E14" t="n">
        <x:f>Training!O44</x:f>
        <x:v>-0.1</x:v>
      </x:c>
    </x:row>
    <x:row r="15">
      <x:c r="A15" t="n">
        <x:f>11</x:f>
        <x:v>11</x:v>
      </x:c>
      <x:c r="B15" t="n">
        <x:f>SUM(Training!L45:L48)</x:f>
        <x:v>0</x:v>
      </x:c>
      <x:c r="C15" t="n">
        <x:f>Training!M48</x:f>
        <x:v>0.1</x:v>
      </x:c>
      <x:c r="D15" t="n">
        <x:f>Training!N48</x:f>
        <x:v>0.1</x:v>
      </x:c>
      <x:c r="E15" t="n">
        <x:f>Training!O48</x:f>
        <x:v>-0.1</x:v>
      </x:c>
    </x:row>
    <x:row r="16">
      <x:c r="A16" t="n">
        <x:f>12</x:f>
        <x:v>12</x:v>
      </x:c>
      <x:c r="B16" t="n">
        <x:f>SUM(Training!L49:L52)</x:f>
        <x:v>0</x:v>
      </x:c>
      <x:c r="C16" t="n">
        <x:f>Training!M52</x:f>
        <x:v>0.1</x:v>
      </x:c>
      <x:c r="D16" t="n">
        <x:f>Training!N52</x:f>
        <x:v>0.1</x:v>
      </x:c>
      <x:c r="E16" t="n">
        <x:f>Training!O52</x:f>
        <x:v>-0.1</x:v>
      </x:c>
    </x:row>
    <x:row r="17">
      <x:c r="A17" t="n">
        <x:f>13</x:f>
        <x:v>13</x:v>
      </x:c>
      <x:c r="B17" t="n">
        <x:f>SUM(Training!L53:L56)</x:f>
        <x:v>0</x:v>
      </x:c>
      <x:c r="C17" t="n">
        <x:f>Training!M56</x:f>
        <x:v>0.1</x:v>
      </x:c>
      <x:c r="D17" t="n">
        <x:f>Training!N56</x:f>
        <x:v>0.1</x:v>
      </x:c>
      <x:c r="E17" t="n">
        <x:f>Training!O56</x:f>
        <x:v>-0.1</x:v>
      </x:c>
    </x:row>
    <x:row r="18">
      <x:c r="A18" t="n">
        <x:f>14</x:f>
        <x:v>14</x:v>
      </x:c>
      <x:c r="B18" t="n">
        <x:f>SUM(Training!L57:L60)</x:f>
        <x:v>0</x:v>
      </x:c>
      <x:c r="C18" t="n">
        <x:f>Training!M60</x:f>
        <x:v>0.1</x:v>
      </x:c>
      <x:c r="D18" t="n">
        <x:f>Training!N60</x:f>
        <x:v>0.1</x:v>
      </x:c>
      <x:c r="E18" t="n">
        <x:f>Training!O60</x:f>
        <x:v>-0.1</x:v>
      </x:c>
    </x:row>
    <x:row r="19">
      <x:c r="A19" t="n">
        <x:f>15</x:f>
        <x:v>15</x:v>
      </x:c>
      <x:c r="B19" t="n">
        <x:f>SUM(Training!L61:L64)</x:f>
        <x:v>0</x:v>
      </x:c>
      <x:c r="C19" t="n">
        <x:f>Training!M64</x:f>
        <x:v>0.1</x:v>
      </x:c>
      <x:c r="D19" t="n">
        <x:f>Training!N64</x:f>
        <x:v>0.1</x:v>
      </x:c>
      <x:c r="E19" t="n">
        <x:f>Training!O64</x:f>
        <x:v>-0.1</x:v>
      </x:c>
    </x:row>
    <x:row r="20">
      <x:c r="A20" t="n">
        <x:f>16</x:f>
        <x:v>16</x:v>
      </x:c>
      <x:c r="B20" t="n">
        <x:f>SUM(Training!L65:L68)</x:f>
        <x:v>0</x:v>
      </x:c>
      <x:c r="C20" t="n">
        <x:f>Training!M68</x:f>
        <x:v>0.1</x:v>
      </x:c>
      <x:c r="D20" t="n">
        <x:f>Training!N68</x:f>
        <x:v>0.1</x:v>
      </x:c>
      <x:c r="E20" t="n">
        <x:f>Training!O68</x:f>
        <x:v>-0.1</x:v>
      </x:c>
    </x:row>
    <x:row r="21">
      <x:c r="A21" t="n">
        <x:f>17</x:f>
        <x:v>17</x:v>
      </x:c>
      <x:c r="B21" t="n">
        <x:f>SUM(Training!L69:L72)</x:f>
        <x:v>0</x:v>
      </x:c>
      <x:c r="C21" t="n">
        <x:f>Training!M72</x:f>
        <x:v>0.1</x:v>
      </x:c>
      <x:c r="D21" t="n">
        <x:f>Training!N72</x:f>
        <x:v>0.1</x:v>
      </x:c>
      <x:c r="E21" t="n">
        <x:f>Training!O72</x:f>
        <x:v>-0.1</x:v>
      </x:c>
    </x:row>
    <x:row r="22">
      <x:c r="A22" t="n">
        <x:f>18</x:f>
        <x:v>18</x:v>
      </x:c>
      <x:c r="B22" t="n">
        <x:f>SUM(Training!L73:L76)</x:f>
        <x:v>0</x:v>
      </x:c>
      <x:c r="C22" t="n">
        <x:f>Training!M76</x:f>
        <x:v>0.1</x:v>
      </x:c>
      <x:c r="D22" t="n">
        <x:f>Training!N76</x:f>
        <x:v>0.1</x:v>
      </x:c>
      <x:c r="E22" t="n">
        <x:f>Training!O76</x:f>
        <x:v>-0.1</x:v>
      </x:c>
    </x:row>
    <x:row r="23">
      <x:c r="A23" t="n">
        <x:f>19</x:f>
        <x:v>19</x:v>
      </x:c>
      <x:c r="B23" t="n">
        <x:f>SUM(Training!L77:L80)</x:f>
        <x:v>0</x:v>
      </x:c>
      <x:c r="C23" t="n">
        <x:f>Training!M80</x:f>
        <x:v>0.1</x:v>
      </x:c>
      <x:c r="D23" t="n">
        <x:f>Training!N80</x:f>
        <x:v>0.1</x:v>
      </x:c>
      <x:c r="E23" t="n">
        <x:f>Training!O80</x:f>
        <x:v>-0.1</x:v>
      </x:c>
    </x:row>
    <x:row r="24">
      <x:c r="A24" t="n">
        <x:f>20</x:f>
        <x:v>20</x:v>
      </x:c>
      <x:c r="B24" t="n">
        <x:f>SUM(Training!L81:L84)</x:f>
        <x:v>0</x:v>
      </x:c>
      <x:c r="C24" t="n">
        <x:f>Training!M84</x:f>
        <x:v>0.1</x:v>
      </x:c>
      <x:c r="D24" t="n">
        <x:f>Training!N84</x:f>
        <x:v>0.1</x:v>
      </x:c>
      <x:c r="E24" t="n">
        <x:f>Training!O84</x:f>
        <x:v>-0.1</x:v>
      </x:c>
    </x:row>
  </x:sheetData>
  <x:mergeCells>
    <x:mergeCell ref="A1:G2"/>
  </x:mergeCells>
  <x:pageMargins left="0.7" right="0.7" top="0.75" bottom="0.75" header="0.3" footer="0.3"/>
  <x:drawing xmlns:r="http://schemas.openxmlformats.org/officeDocument/2006/relationships" r:id="R36ef6292bef74f2e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7" hidden="0" customWidth="1"/>
    <x:col min="3" max="3" width="76" hidden="0" customWidth="1"/>
  </x:cols>
  <x:sheetData>
    <x:row r="1" ht="26" customHeight="1">
      <x:c r="A1" s="3" t="str">
        <x:v>MATHEMATICAL FORMULAS</x:v>
      </x:c>
      <x:c r="B1" s="3"/>
      <x:c r="C1" s="3"/>
      <x:c r="D1" s="3"/>
    </x:row>
    <x:row r="2" ht="26" customHeight="1">
      <x:c r="A2" s="3"/>
      <x:c r="B2" s="3"/>
      <x:c r="C2" s="3"/>
      <x:c r="D2" s="3"/>
    </x:row>
    <x:row r="4" ht="27" customHeight="1">
      <x:c r="A4" s="7" t="str">
        <x:v>Concept</x:v>
      </x:c>
      <x:c r="B4" s="7" t="str">
        <x:v>Equation</x:v>
      </x:c>
      <x:c r="C4" s="7" t="str">
        <x:v>Interpretation</x:v>
      </x:c>
    </x:row>
    <x:row r="5">
      <x:c r="A5" t="str">
        <x:v>Net input</x:v>
      </x:c>
      <x:c r="B5" t="str">
        <x:v>net = w1*x1 + w2*x2 + b</x:v>
      </x:c>
      <x:c r="C5" t="str">
        <x:v>Weighted sum plus intercept</x:v>
      </x:c>
    </x:row>
    <x:row r="6">
      <x:c r="A6" t="str">
        <x:v>ADALINE output</x:v>
      </x:c>
      <x:c r="B6" t="str">
        <x:v>y = net</x:v>
      </x:c>
      <x:c r="C6" t="str">
        <x:v>Continuous output during learning</x:v>
      </x:c>
    </x:row>
    <x:row r="7">
      <x:c r="A7" t="str">
        <x:v>ADALINE residual</x:v>
      </x:c>
      <x:c r="B7" t="str">
        <x:v>e = t - y</x:v>
      </x:c>
      <x:c r="C7" t="str">
        <x:v>Linear-output difference</x:v>
      </x:c>
    </x:row>
    <x:row r="8">
      <x:c r="A8" t="str">
        <x:v>Squared error</x:v>
      </x:c>
      <x:c r="B8" t="str">
        <x:v>e² = (t-y)²</x:v>
      </x:c>
      <x:c r="C8" t="str">
        <x:v>Non-negative squared residual</x:v>
      </x:c>
    </x:row>
    <x:row r="9">
      <x:c r="A9" t="str">
        <x:v>Online LMS weight</x:v>
      </x:c>
      <x:c r="B9" t="str">
        <x:v>w_i(new) = w_i(old) + η*e*x_i</x:v>
      </x:c>
      <x:c r="C9" t="str">
        <x:v>Update after every sample</x:v>
      </x:c>
    </x:row>
    <x:row r="10">
      <x:c r="A10" t="str">
        <x:v>Online LMS bias</x:v>
      </x:c>
      <x:c r="B10" t="str">
        <x:v>b(new) = b(old) + η*e</x:v>
      </x:c>
      <x:c r="C10" t="str">
        <x:v>Bias uses constant input 1</x:v>
      </x:c>
    </x:row>
    <x:row r="11">
      <x:c r="A11" t="str">
        <x:v>Perceptron prediction</x:v>
      </x:c>
      <x:c r="B11" t="str">
        <x:v>ŷ = +1 if net &gt;= 0 else -1</x:v>
      </x:c>
      <x:c r="C11" t="str">
        <x:v>Threshold at zero</x:v>
      </x:c>
    </x:row>
    <x:row r="12">
      <x:c r="A12" t="str">
        <x:v>Perceptron weight</x:v>
      </x:c>
      <x:c r="B12" t="str">
        <x:v>w_i(new) = w_i(old) + η*t*x_i if ŷ != t</x:v>
      </x:c>
      <x:c r="C12" t="str">
        <x:v>Correct examples do not update weights</x:v>
      </x:c>
    </x:row>
    <x:row r="13">
      <x:c r="A13" t="str">
        <x:v>Perceptron bias</x:v>
      </x:c>
      <x:c r="B13" t="str">
        <x:v>b(new) = b(old) + η*t if ŷ != t</x:v>
      </x:c>
      <x:c r="C13" t="str">
        <x:v>Update only on mistakes</x:v>
      </x:c>
    </x:row>
    <x:row r="14">
      <x:c r="A14" t="str">
        <x:v>Mean squared error</x:v>
      </x:c>
      <x:c r="B14" t="str">
        <x:v>MSE = sum(e²)/N</x:v>
      </x:c>
      <x:c r="C14" t="str">
        <x:v>Average pre-update errors for each epoch</x:v>
      </x:c>
    </x:row>
  </x:sheetData>
  <x:mergeCells>
    <x:mergeCell ref="A1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9" hidden="0" customWidth="1"/>
    <x:col min="3" max="3" width="96" hidden="0" customWidth="1"/>
  </x:cols>
  <x:sheetData>
    <x:row r="1" ht="26" customHeight="1">
      <x:c r="A1" s="3" t="str">
        <x:v>TECHNICAL GLOSSARY</x:v>
      </x:c>
      <x:c r="B1" s="3"/>
      <x:c r="C1" s="3"/>
      <x:c r="D1" s="3"/>
    </x:row>
    <x:row r="2" ht="26" customHeight="1">
      <x:c r="A2" s="3"/>
      <x:c r="B2" s="3"/>
      <x:c r="C2" s="3"/>
      <x:c r="D2" s="3"/>
    </x:row>
    <x:row r="4" ht="27" customHeight="1">
      <x:c r="A4" s="7" t="str">
        <x:v>No</x:v>
      </x:c>
      <x:c r="B4" s="7" t="str">
        <x:v>Term</x:v>
      </x:c>
      <x:c r="C4" s="7" t="str">
        <x:v>English explanation</x:v>
      </x:c>
    </x:row>
    <x:row r="5">
      <x:c r="A5" t="n">
        <x:v>1</x:v>
      </x:c>
      <x:c r="B5" t="str">
        <x:v>ADALINE</x:v>
      </x:c>
      <x:c r="C5" t="str">
        <x:v>Adaptive Linear Neuron; trains on a continuous linear output.</x:v>
      </x:c>
    </x:row>
    <x:row r="6">
      <x:c r="A6" t="n">
        <x:v>2</x:v>
      </x:c>
      <x:c r="B6" t="str">
        <x:v>Perceptron</x:v>
      </x:c>
      <x:c r="C6" t="str">
        <x:v>Linear binary classifier trained using thresholded predictions.</x:v>
      </x:c>
    </x:row>
    <x:row r="7">
      <x:c r="A7" t="n">
        <x:v>3</x:v>
      </x:c>
      <x:c r="B7" t="str">
        <x:v>Supervised learning</x:v>
      </x:c>
      <x:c r="C7" t="str">
        <x:v>Learning from input examples and their known targets.</x:v>
      </x:c>
    </x:row>
    <x:row r="8">
      <x:c r="A8" t="n">
        <x:v>4</x:v>
      </x:c>
      <x:c r="B8" t="str">
        <x:v>Input x1, x2</x:v>
      </x:c>
      <x:c r="C8" t="str">
        <x:v>Features provided to the neuron.</x:v>
      </x:c>
    </x:row>
    <x:row r="9">
      <x:c r="A9" t="n">
        <x:v>5</x:v>
      </x:c>
      <x:c r="B9" t="str">
        <x:v>Weight w1, w2</x:v>
      </x:c>
      <x:c r="C9" t="str">
        <x:v>Trainable coefficients multiplying the inputs.</x:v>
      </x:c>
    </x:row>
    <x:row r="10">
      <x:c r="A10" t="n">
        <x:v>6</x:v>
      </x:c>
      <x:c r="B10" t="str">
        <x:v>Bias b</x:v>
      </x:c>
      <x:c r="C10" t="str">
        <x:v>Trainable intercept added to the weighted input sum.</x:v>
      </x:c>
    </x:row>
    <x:row r="11">
      <x:c r="A11" t="n">
        <x:v>7</x:v>
      </x:c>
      <x:c r="B11" t="str">
        <x:v>Learning rate η</x:v>
      </x:c>
      <x:c r="C11" t="str">
        <x:v>Scale factor that controls weight-update magnitude.</x:v>
      </x:c>
    </x:row>
    <x:row r="12">
      <x:c r="A12" t="n">
        <x:v>8</x:v>
      </x:c>
      <x:c r="B12" t="str">
        <x:v>Target t</x:v>
      </x:c>
      <x:c r="C12" t="str">
        <x:v>Desired class label, encoded as -1 or +1.</x:v>
      </x:c>
    </x:row>
    <x:row r="13">
      <x:c r="A13" t="n">
        <x:v>9</x:v>
      </x:c>
      <x:c r="B13" t="str">
        <x:v>Net input</x:v>
      </x:c>
      <x:c r="C13" t="str">
        <x:v>Weighted sum w1*x1 + w2*x2 + b.</x:v>
      </x:c>
    </x:row>
    <x:row r="14">
      <x:c r="A14" t="n">
        <x:v>10</x:v>
      </x:c>
      <x:c r="B14" t="str">
        <x:v>Linear output y</x:v>
      </x:c>
      <x:c r="C14" t="str">
        <x:v>Continuous net input used for ADALINE training.</x:v>
      </x:c>
    </x:row>
    <x:row r="15">
      <x:c r="A15" t="n">
        <x:v>11</x:v>
      </x:c>
      <x:c r="B15" t="str">
        <x:v>Prediction ŷ</x:v>
      </x:c>
      <x:c r="C15" t="str">
        <x:v>Thresholded class label: +1 when net&gt;=0, otherwise -1.</x:v>
      </x:c>
    </x:row>
    <x:row r="16">
      <x:c r="A16" t="n">
        <x:v>12</x:v>
      </x:c>
      <x:c r="B16" t="str">
        <x:v>Error e</x:v>
      </x:c>
      <x:c r="C16" t="str">
        <x:v>ADALINE residual t-y.</x:v>
      </x:c>
    </x:row>
    <x:row r="17">
      <x:c r="A17" t="n">
        <x:v>13</x:v>
      </x:c>
      <x:c r="B17" t="str">
        <x:v>Squared error</x:v>
      </x:c>
      <x:c r="C17" t="str">
        <x:v>Residual squared, (t-y)^2.</x:v>
      </x:c>
    </x:row>
    <x:row r="18">
      <x:c r="A18" t="n">
        <x:v>14</x:v>
      </x:c>
      <x:c r="B18" t="str">
        <x:v>MSE</x:v>
      </x:c>
      <x:c r="C18" t="str">
        <x:v>Mean squared error across observations.</x:v>
      </x:c>
    </x:row>
    <x:row r="19">
      <x:c r="A19" t="n">
        <x:v>15</x:v>
      </x:c>
      <x:c r="B19" t="str">
        <x:v>LMS / Widrow–Hoff</x:v>
      </x:c>
      <x:c r="C19" t="str">
        <x:v>Delta rule minimizing squared linear-output errors.</x:v>
      </x:c>
    </x:row>
    <x:row r="20">
      <x:c r="A20" t="n">
        <x:v>16</x:v>
      </x:c>
      <x:c r="B20" t="str">
        <x:v>Perceptron update</x:v>
      </x:c>
      <x:c r="C20" t="str">
        <x:v>Adjusts parameters when a prediction is wrong.</x:v>
      </x:c>
    </x:row>
    <x:row r="21">
      <x:c r="A21" t="n">
        <x:v>17</x:v>
      </x:c>
      <x:c r="B21" t="str">
        <x:v>Epoch</x:v>
      </x:c>
      <x:c r="C21" t="str">
        <x:v>One complete pass through the training examples.</x:v>
      </x:c>
    </x:row>
    <x:row r="22">
      <x:c r="A22" t="n">
        <x:v>18</x:v>
      </x:c>
      <x:c r="B22" t="str">
        <x:v>Online learning</x:v>
      </x:c>
      <x:c r="C22" t="str">
        <x:v>Parameters are updated after individual examples.</x:v>
      </x:c>
    </x:row>
    <x:row r="23">
      <x:c r="A23" t="n">
        <x:v>19</x:v>
      </x:c>
      <x:c r="B23" t="str">
        <x:v>Convergence</x:v>
      </x:c>
      <x:c r="C23" t="str">
        <x:v>Approaching stable weights, error or classification behavior.</x:v>
      </x:c>
    </x:row>
    <x:row r="24">
      <x:c r="A24" t="n">
        <x:v>20</x:v>
      </x:c>
      <x:c r="B24" t="str">
        <x:v>Bipolar AND</x:v>
      </x:c>
      <x:c r="C24" t="str">
        <x:v>Boolean AND encoded with -1 and +1 labels.</x:v>
      </x:c>
    </x:row>
    <x:row r="25">
      <x:c r="A25" t="n">
        <x:v>21</x:v>
      </x:c>
      <x:c r="B25" t="str">
        <x:v>Linear separability</x:v>
      </x:c>
      <x:c r="C25" t="str">
        <x:v>Classes can be separated by one linear decision boundary.</x:v>
      </x:c>
    </x:row>
    <x:row r="26">
      <x:c r="A26" t="n">
        <x:v>22</x:v>
      </x:c>
      <x:c r="B26" t="str">
        <x:v>Decision boundary</x:v>
      </x:c>
      <x:c r="C26" t="str">
        <x:v>Set of inputs where w1*x1+w2*x2+b=0.</x:v>
      </x:c>
    </x:row>
    <x:row r="27">
      <x:c r="A27" t="n">
        <x:v>23</x:v>
      </x:c>
      <x:c r="B27" t="str">
        <x:v>Gradient descent</x:v>
      </x:c>
      <x:c r="C27" t="str">
        <x:v>Parameter updates in the negative gradient direction.</x:v>
      </x:c>
    </x:row>
    <x:row r="28">
      <x:c r="A28" t="n">
        <x:v>24</x:v>
      </x:c>
      <x:c r="B28" t="str">
        <x:v>Misclassification</x:v>
      </x:c>
      <x:c r="C28" t="str">
        <x:v>A prediction whose class label differs from the target.</x:v>
      </x:c>
    </x:row>
  </x:sheetData>
  <x:mergeCells>
    <x:mergeCell ref="A1:D2"/>
  </x:mergeCells>
  <x:pageMargins left="0.7" right="0.7" top="0.75" bottom="0.75" header="0.3" footer="0.3"/>
</x:worksheet>
</file>