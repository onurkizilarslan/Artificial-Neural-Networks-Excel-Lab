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31881101c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hber" sheetId="1" r:id="R627b0111fbba47d6"/>
    <x:sheet xmlns:r="http://schemas.openxmlformats.org/officeDocument/2006/relationships" name="Parametreler" sheetId="2" r:id="Ref4be195809f4ff8"/>
    <x:sheet xmlns:r="http://schemas.openxmlformats.org/officeDocument/2006/relationships" name="Veri Kumesi" sheetId="3" r:id="R431ed5661d7f4285"/>
    <x:sheet xmlns:r="http://schemas.openxmlformats.org/officeDocument/2006/relationships" name="ADALINE Egitim" sheetId="4" r:id="R76136f9b592a4536"/>
    <x:sheet xmlns:r="http://schemas.openxmlformats.org/officeDocument/2006/relationships" name="Perceptron Egitim" sheetId="5" r:id="Rdf4ca1b0be51432e"/>
    <x:sheet xmlns:r="http://schemas.openxmlformats.org/officeDocument/2006/relationships" name="Epoch Analizi" sheetId="6" r:id="Rc6f8d8a200a94488"/>
    <x:sheet xmlns:r="http://schemas.openxmlformats.org/officeDocument/2006/relationships" name="Grafikler" sheetId="7" r:id="R7b62e5dfa1874073"/>
    <x:sheet xmlns:r="http://schemas.openxmlformats.org/officeDocument/2006/relationships" name="Formuller" sheetId="8" r:id="Ra8756f5fbe074546"/>
    <x:sheet xmlns:r="http://schemas.openxmlformats.org/officeDocument/2006/relationships" name="Teknik Terimler" sheetId="9" r:id="R424f35de37f54f15"/>
    <x:sheet xmlns:r="http://schemas.openxmlformats.org/officeDocument/2006/relationships" name="Ornek Cozum" sheetId="10" r:id="R33a1421f6972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%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247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AF4F5"/>
      </x:patternFill>
    </x:fill>
    <x:fill>
      <x:patternFill patternType="solid">
        <x:fgColor rgb="FF117C83"/>
      </x:patternFill>
    </x:fill>
    <x:fill>
      <x:patternFill patternType="solid">
        <x:fgColor rgb="FFDFEB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49ce1e57f4e04" /><Relationship Type="http://schemas.openxmlformats.org/officeDocument/2006/relationships/theme" Target="/xl/theme/theme1.xml" Id="R67531cf59ce74e86" /><Relationship Type="http://schemas.openxmlformats.org/officeDocument/2006/relationships/sharedStrings" Target="/xl/sharedStrings.xml" Id="R1dc47a5147514cdd" /><Relationship Type="http://schemas.openxmlformats.org/officeDocument/2006/relationships/worksheet" Target="/xl/worksheets/sheet1.xml" Id="R627b0111fbba47d6" /><Relationship Type="http://schemas.openxmlformats.org/officeDocument/2006/relationships/worksheet" Target="/xl/worksheets/sheet2.xml" Id="Ref4be195809f4ff8" /><Relationship Type="http://schemas.openxmlformats.org/officeDocument/2006/relationships/worksheet" Target="/xl/worksheets/sheet3.xml" Id="R431ed5661d7f4285" /><Relationship Type="http://schemas.openxmlformats.org/officeDocument/2006/relationships/worksheet" Target="/xl/worksheets/sheet4.xml" Id="R76136f9b592a4536" /><Relationship Type="http://schemas.openxmlformats.org/officeDocument/2006/relationships/worksheet" Target="/xl/worksheets/sheet5.xml" Id="Rdf4ca1b0be51432e" /><Relationship Type="http://schemas.openxmlformats.org/officeDocument/2006/relationships/worksheet" Target="/xl/worksheets/sheet6.xml" Id="Rc6f8d8a200a94488" /><Relationship Type="http://schemas.openxmlformats.org/officeDocument/2006/relationships/worksheet" Target="/xl/worksheets/sheet7.xml" Id="R7b62e5dfa1874073" /><Relationship Type="http://schemas.openxmlformats.org/officeDocument/2006/relationships/worksheet" Target="/xl/worksheets/sheet8.xml" Id="Ra8756f5fbe074546" /><Relationship Type="http://schemas.openxmlformats.org/officeDocument/2006/relationships/worksheet" Target="/xl/worksheets/sheet9.xml" Id="R424f35de37f54f15" /><Relationship Type="http://schemas.openxmlformats.org/officeDocument/2006/relationships/worksheet" Target="/xl/worksheets/sheet10.xml" Id="R33a1421f697245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d1032be70e4286" /><Relationship Type="http://schemas.openxmlformats.org/officeDocument/2006/relationships/chart" Target="/xl/drawings/charts/chart2.xml" Id="R8cf072f3f1214127" /><Relationship Type="http://schemas.openxmlformats.org/officeDocument/2006/relationships/chart" Target="/xl/drawings/charts/chart3.xml" Id="R6714cb4c767d4fa0" /><Relationship Type="http://schemas.openxmlformats.org/officeDocument/2006/relationships/chart" Target="/xl/drawings/charts/chart4.xml" Id="Rad35429e7fdc4e2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MSE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Analizi'!$B$5:$B$34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Hata adedi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Analizi'!$F$5:$F$34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w1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Analizi'!$C$5:$C$34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w2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Analizi'!$D$5:$D$34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w1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Analizi'!$H$5:$H$34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w2</c:v>
          </c:tx>
          <c:marker>
            <c:symbol val="none"/>
          </c:marker>
          <c:cat>
            <c:strRef>
              <c:f>'Epoch Analizi'!$A$5:$A$34</c:f>
              <c:strCache>
                <c:ptCount val="0"/>
              </c:strCache>
            </c:strRef>
          </c:cat>
          <c:val>
            <c:numRef>
              <c:f>'Epoch Analizi'!$I$5:$I$34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d1032be70e4286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072f3f1214127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4cb4c767d4fa0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35429e7fdc4e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38fb5c78e1a456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6" customHeight="1">
      <x:c r="A1" s="4" t="str">
        <x:v>ADALINE  vs  PERCEPTRON | KARŞILAŞTIRMALI ÖĞRENME LABORATUVARI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34" customHeight="1">
      <x:c r="A4" s="9" t="str">
        <x:v>PROJE</x:v>
      </x:c>
      <x:c r="B4" s="12" t="str">
        <x:v>İki tek nöronlu öğrenme algoritmasını aynı veri üzerinde incele.</x:v>
      </x:c>
    </x:row>
    <x:row r="5" ht="34" customHeight="1">
      <x:c r="A5" s="9" t="str">
        <x:v>Amaç</x:v>
      </x:c>
      <x:c r="B5" s="12" t="str">
        <x:v>Perceptron sınıflandırma hatasıyla; ADALINE ise doğrusal çıktı hatasıyla ağırlık günceller.</x:v>
      </x:c>
    </x:row>
    <x:row r="6" ht="34" customHeight="1">
      <x:c r="A6" s="9" t="str">
        <x:v>Veri</x:v>
      </x:c>
      <x:c r="B6" s="12" t="str">
        <x:v>Bipolar AND: (-1,-1)→-1; (-1,+1)→-1; (+1,-1)→-1; (+1,+1)→+1.</x:v>
      </x:c>
    </x:row>
    <x:row r="7" ht="34" customHeight="1">
      <x:c r="A7" s="9" t="str">
        <x:v>Başlangıç</x:v>
      </x:c>
      <x:c r="B7" s="12" t="str">
        <x:v>Parametreler sayfasındaki mavi giriş hücrelerinde η, w1, w2, bias ve epoch sayısını değiştir.</x:v>
      </x:c>
    </x:row>
    <x:row r="8" ht="34" customHeight="1">
      <x:c r="A8" s="9" t="str">
        <x:v>Adım 1</x:v>
      </x:c>
      <x:c r="B8" s="12" t="str">
        <x:v>ADALINE Egitim sayfasında doğrusal çıktı, hata ve her örneğin güncellemesini izle.</x:v>
      </x:c>
    </x:row>
    <x:row r="9" ht="34" customHeight="1">
      <x:c r="A9" s="9" t="str">
        <x:v>Adım 2</x:v>
      </x:c>
      <x:c r="B9" s="12" t="str">
        <x:v>Perceptron Egitim sayfasında sınıf tahminini ve hatalı örneklerdeki güncellemeyi izle.</x:v>
      </x:c>
    </x:row>
    <x:row r="10" ht="34" customHeight="1">
      <x:c r="A10" s="9" t="str">
        <x:v>Adım 3</x:v>
      </x:c>
      <x:c r="B10" s="12" t="str">
        <x:v>Epoch Analizi sayfasında eğitim sırasında hesaplanan MSE ve yanlış sınıflandırma sayılarını karşılaştır.</x:v>
      </x:c>
    </x:row>
    <x:row r="11" ht="34" customHeight="1">
      <x:c r="A11" s="9" t="str">
        <x:v>Adım 4</x:v>
      </x:c>
      <x:c r="B11" s="12" t="str">
        <x:v>Grafikler sayfasında hata eğrileri ve iki algoritmanın ağırlıklarının gelişimini izle.</x:v>
      </x:c>
    </x:row>
    <x:row r="12" ht="34" customHeight="1">
      <x:c r="A12" s="9" t="str">
        <x:v>Dikkat</x:v>
      </x:c>
      <x:c r="B12" s="12" t="str">
        <x:v>ADALINE MSE ve Perceptron yanlış sınıflandırma sayısı farklı ölçülerdir; aynı eksende kıyaslanmamalıdır.</x:v>
      </x:c>
    </x:row>
    <x:row r="13" ht="34" customHeight="1">
      <x:c r="A13" s="9" t="str">
        <x:v>Eşik</x:v>
      </x:c>
      <x:c r="B13" s="12" t="str">
        <x:v>İki modelde sınıflandırma için net &gt;= 0 ise +1, aksi durumda -1 kabul edilir.</x:v>
      </x:c>
    </x:row>
    <x:row r="14" ht="34" customHeight="1">
      <x:c r="A14" s="9" t="str">
        <x:v>Eğitim biçimi</x:v>
      </x:c>
      <x:c r="B14" s="12" t="str">
        <x:v>Çevrim içi (online): her örnekten sonra ağırlıklar güncellenir; örnek sırası sabittir.</x:v>
      </x:c>
    </x:row>
    <x:row r="15" ht="34" customHeight="1">
      <x:c r="A15" s="9" t="str">
        <x:v>Sabit sınır</x:v>
      </x:c>
      <x:c r="B15" s="12" t="str">
        <x:v>Çalışma kitabı 30 epoch için 120 adımı hazırlar; daha az epoch seçilirse fazladan satırlar boş bırakılır.</x:v>
      </x:c>
    </x:row>
    <x:row r="16" ht="34" customHeight="1">
      <x:c r="A16" s="9" t="str">
        <x:v>Deney 1</x:v>
      </x:c>
      <x:c r="B16" s="12" t="str">
        <x:v>Öğrenme oranını 0,05; 0,10 ve 0,20 deneyerek öğrenme eğrilerini karşılaştır.</x:v>
      </x:c>
    </x:row>
    <x:row r="17" ht="34" customHeight="1">
      <x:c r="A17" s="9" t="str">
        <x:v>Deney 2</x:v>
      </x:c>
      <x:c r="B17" s="12" t="str">
        <x:v>Başlangıç ağırlıklarını değiştirerek her iki modelin son ağırlıklarını ve hata desenini gözlemle.</x:v>
      </x:c>
    </x:row>
    <x:row r="18" ht="34" customHeight="1">
      <x:c r="A18" s="9" t="str">
        <x:v>Sınırlama</x:v>
      </x:c>
      <x:c r="B18" s="12" t="str">
        <x:v>ADALINE doğrusal çıktı için kareli hata azaltır; tüm örnekleri doğru sınıflandırsa bile MSE sıfır olmayabilir.</x:v>
      </x:c>
    </x:row>
  </x:sheetData>
  <x:mergeCells>
    <x:mergeCell ref="A1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7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4" t="str">
        <x:v>KONTROL PANELİ | AYNI BAŞLANGIÇ, AYNI VERİ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31" customHeight="1">
      <x:c r="A4" s="17" t="str">
        <x:v>Parametre</x:v>
      </x:c>
      <x:c r="B4" s="17" t="str">
        <x:v>Değer</x:v>
      </x:c>
      <x:c r="C4" s="17" t="str">
        <x:v>Açıklama</x:v>
      </x:c>
    </x:row>
    <x:row r="5" ht="30" customHeight="1">
      <x:c r="A5" t="str">
        <x:v>Öğrenme oranı η</x:v>
      </x:c>
      <x:c r="B5" s="23" t="n">
        <x:v>0.1</x:v>
      </x:c>
      <x:c r="C5" s="12" t="str">
        <x:v>İki algoritmada da aynı sabit öğrenme oranı kullanılır.</x:v>
      </x:c>
    </x:row>
    <x:row r="6" ht="30" customHeight="1">
      <x:c r="A6" t="str">
        <x:v>Başlangıç w1</x:v>
      </x:c>
      <x:c r="B6" s="23" t="n">
        <x:v>0</x:v>
      </x:c>
      <x:c r="C6" s="12" t="str">
        <x:v>İki algoritmanın ilk w1 ağırlığı.</x:v>
      </x:c>
    </x:row>
    <x:row r="7" ht="30" customHeight="1">
      <x:c r="A7" t="str">
        <x:v>Başlangıç w2</x:v>
      </x:c>
      <x:c r="B7" s="23" t="n">
        <x:v>0</x:v>
      </x:c>
      <x:c r="C7" s="12" t="str">
        <x:v>İki algoritmanın ilk w2 ağırlığı.</x:v>
      </x:c>
    </x:row>
    <x:row r="8" ht="30" customHeight="1">
      <x:c r="A8" t="str">
        <x:v>Başlangıç bias</x:v>
      </x:c>
      <x:c r="B8" s="23" t="n">
        <x:v>0</x:v>
      </x:c>
      <x:c r="C8" s="12" t="str">
        <x:v>İki algoritmanın ilk bias değeri.</x:v>
      </x:c>
    </x:row>
    <x:row r="9" ht="30" customHeight="1">
      <x:c r="A9" t="str">
        <x:v>Epoch sayısı</x:v>
      </x:c>
      <x:c r="B9" s="23" t="n">
        <x:v>20</x:v>
      </x:c>
      <x:c r="C9" s="12" t="str">
        <x:v>1–30 arasında tam sayı girin; her epoch 4 örnek.</x:v>
      </x:c>
    </x:row>
    <x:row r="10" ht="30" customHeight="1">
      <x:c r="A10" t="str">
        <x:v>Örnek / epoch</x:v>
      </x:c>
      <x:c r="B10" t="n">
        <x:v>4</x:v>
      </x:c>
      <x:c r="C10" s="12" t="str">
        <x:v>Bipolar AND veri kümesi için sabit.</x:v>
      </x:c>
    </x:row>
    <x:row r="11" ht="30" customHeight="1">
      <x:c r="A11" t="str">
        <x:v>Eşik</x:v>
      </x:c>
      <x:c r="B11" t="n">
        <x:v>0</x:v>
      </x:c>
      <x:c r="C11" s="12" t="str">
        <x:v>Net &gt;= 0 olduğunda +1 sınıfı.</x:v>
      </x:c>
    </x:row>
  </x:sheetData>
  <x:mergeCells>
    <x:mergeCell ref="A1:H2"/>
  </x:mergeCells>
  <x:dataValidations count="1">
    <x:dataValidation type="whole" operator="between" sqref="B9">
      <x:formula1>1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7" hidden="0" customWidth="1"/>
    <x:col min="5" max="5" width="4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4" t="str">
        <x:v>ORTAK VERİ KÜMESİ | BİPOLAR AND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31" customHeight="1">
      <x:c r="A4" s="17" t="str">
        <x:v>Örnek</x:v>
      </x:c>
      <x:c r="B4" s="17" t="str">
        <x:v>x1</x:v>
      </x:c>
      <x:c r="C4" s="17" t="str">
        <x:v>x2</x:v>
      </x:c>
      <x:c r="D4" s="17" t="str">
        <x:v>Hedef t</x:v>
      </x:c>
      <x:c r="E4" s="17" t="str">
        <x:v>Mantık / açıklama</x:v>
      </x:c>
    </x:row>
    <x:row r="5">
      <x:c r="A5" t="n">
        <x:v>1</x:v>
      </x:c>
      <x:c r="B5" t="n">
        <x:v>-1</x:v>
      </x:c>
      <x:c r="C5" t="n">
        <x:v>-1</x:v>
      </x:c>
      <x:c r="D5" t="n">
        <x:v>-1</x:v>
      </x:c>
      <x:c r="E5" t="str">
        <x:v>Her iki giriş pozitif değil</x:v>
      </x:c>
    </x:row>
    <x:row r="6">
      <x:c r="A6" t="n">
        <x:v>2</x:v>
      </x:c>
      <x:c r="B6" t="n">
        <x:v>-1</x:v>
      </x:c>
      <x:c r="C6" t="n">
        <x:v>1</x:v>
      </x:c>
      <x:c r="D6" t="n">
        <x:v>-1</x:v>
      </x:c>
      <x:c r="E6" t="str">
        <x:v>Her iki giriş pozitif değil</x:v>
      </x:c>
    </x:row>
    <x:row r="7">
      <x:c r="A7" t="n">
        <x:v>3</x:v>
      </x:c>
      <x:c r="B7" t="n">
        <x:v>1</x:v>
      </x:c>
      <x:c r="C7" t="n">
        <x:v>-1</x:v>
      </x:c>
      <x:c r="D7" t="n">
        <x:v>-1</x:v>
      </x:c>
      <x:c r="E7" t="str">
        <x:v>Her iki giriş pozitif değil</x:v>
      </x:c>
    </x:row>
    <x:row r="8">
      <x:c r="A8" t="n">
        <x:v>4</x:v>
      </x:c>
      <x:c r="B8" t="n">
        <x:v>1</x:v>
      </x:c>
      <x:c r="C8" t="n">
        <x:v>1</x:v>
      </x:c>
      <x:c r="D8" t="n">
        <x:v>1</x:v>
      </x:c>
      <x:c r="E8" t="str">
        <x:v>Yalnızca (+1,+1) → +1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6" customHeight="1">
      <x:c r="A1" s="4" t="str">
        <x:v>ADALINE | WIDROW–HOFF / ÇEVRİM İÇİ LMS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4" ht="31" customHeight="1">
      <x:c r="A4" s="17" t="str">
        <x:v>Adım</x:v>
      </x:c>
      <x:c r="B4" s="17" t="str">
        <x:v>Epoch</x:v>
      </x:c>
      <x:c r="C4" s="17" t="str">
        <x:v>Örnek</x:v>
      </x:c>
      <x:c r="D4" s="17" t="str">
        <x:v>x1</x:v>
      </x:c>
      <x:c r="E4" s="17" t="str">
        <x:v>x2</x:v>
      </x:c>
      <x:c r="F4" s="17" t="str">
        <x:v>Hedef t</x:v>
      </x:c>
      <x:c r="G4" s="17" t="str">
        <x:v>w1 önce</x:v>
      </x:c>
      <x:c r="H4" s="17" t="str">
        <x:v>w2 önce</x:v>
      </x:c>
      <x:c r="I4" s="17" t="str">
        <x:v>bias önce</x:v>
      </x:c>
      <x:c r="J4" s="17" t="str">
        <x:v>Doğrusal y</x:v>
      </x:c>
      <x:c r="K4" s="17" t="str">
        <x:v>Hata (t-y)</x:v>
      </x:c>
      <x:c r="L4" s="17" t="str">
        <x:v>Hata²</x:v>
      </x:c>
      <x:c r="M4" s="17" t="str">
        <x:v>Δw1</x:v>
      </x:c>
      <x:c r="N4" s="17" t="str">
        <x:v>Δw2</x:v>
      </x:c>
      <x:c r="O4" s="17" t="str">
        <x:v>Δbias</x:v>
      </x:c>
      <x:c r="P4" s="17" t="str">
        <x:v>w1 sonra</x:v>
      </x:c>
      <x:c r="Q4" s="17" t="str">
        <x:v>w2 sonra</x:v>
      </x:c>
      <x:c r="R4" s="17" t="str">
        <x:v>bias sonra</x:v>
      </x:c>
    </x:row>
    <x:row r="5" ht="20" customHeight="1">
      <x:c r="A5" t="n">
        <x:f>IF(1&lt;=Parametreler!$B$9*Parametreler!$B$10,1,"")</x:f>
        <x:v>1</x:v>
      </x:c>
      <x:c r="B5" t="n">
        <x:f>IF(A5="","",INT((A5-1)/Parametreler!$B$10)+1)</x:f>
        <x:v>1</x:v>
      </x:c>
      <x:c r="C5" t="n">
        <x:f>IF(A5="","",MOD(A5-1,Parametreler!$B$10)+1)</x:f>
        <x:v>1</x:v>
      </x:c>
      <x:c r="D5" s="26" t="n">
        <x:f>IF(A5="","",INDEX('Veri Kumesi'!$B$5:$B$8,C5))</x:f>
        <x:v>-1</x:v>
      </x:c>
      <x:c r="E5" s="26" t="n">
        <x:f>IF(A5="","",INDEX('Veri Kumesi'!$C$5:$C$8,C5))</x:f>
        <x:v>-1</x:v>
      </x:c>
      <x:c r="F5" s="26" t="n">
        <x:f>IF(A5="","",INDEX('Veri Kumesi'!$D$5:$D$8,C5))</x:f>
        <x:v>-1</x:v>
      </x:c>
      <x:c r="G5" s="26" t="n">
        <x:f>IF(A5="","",Parametreler!$B$6)</x:f>
        <x:v>0</x:v>
      </x:c>
      <x:c r="H5" s="26" t="n">
        <x:f>IF(A5="","",Parametreler!$B$7)</x:f>
        <x:v>0</x:v>
      </x:c>
      <x:c r="I5" s="26" t="n">
        <x:f>IF(A5="","",Parametreler!$B$8)</x:f>
        <x:v>0</x:v>
      </x:c>
      <x:c r="J5" s="26" t="n">
        <x:f>IF(A5="","",G5*D5+H5*E5+I5)</x:f>
        <x:v>0</x:v>
      </x:c>
      <x:c r="K5" s="26" t="n">
        <x:f>IF(A5="","",F5-J5)</x:f>
        <x:v>-1</x:v>
      </x:c>
      <x:c r="L5" s="26" t="n">
        <x:f>IF(A5="","",K5^2)</x:f>
        <x:v>1</x:v>
      </x:c>
      <x:c r="M5" s="26" t="n">
        <x:f>IF(A5="","",Parametreler!$B$5*K5*D5)</x:f>
        <x:v>0.1</x:v>
      </x:c>
      <x:c r="N5" s="26" t="n">
        <x:f>IF(A5="","",Parametreler!$B$5*K5*E5)</x:f>
        <x:v>0.1</x:v>
      </x:c>
      <x:c r="O5" s="26" t="n">
        <x:f>IF(A5="","",Parametreler!$B$5*K5)</x:f>
        <x:v>-0.1</x:v>
      </x:c>
      <x:c r="P5" s="26" t="n">
        <x:f>IF(A5="","",G5+M5)</x:f>
        <x:v>0.1</x:v>
      </x:c>
      <x:c r="Q5" s="26" t="n">
        <x:f>IF(A5="","",H5+N5)</x:f>
        <x:v>0.1</x:v>
      </x:c>
      <x:c r="R5" s="26" t="n">
        <x:f>IF(A5="","",I5+O5)</x:f>
        <x:v>-0.1</x:v>
      </x:c>
    </x:row>
    <x:row r="6" ht="20" customHeight="1">
      <x:c r="A6" t="n">
        <x:f>IF(2&lt;=Parametreler!$B$9*Parametreler!$B$10,2,"")</x:f>
        <x:v>2</x:v>
      </x:c>
      <x:c r="B6" t="n">
        <x:f>IF(A6="","",INT((A6-1)/Parametreler!$B$10)+1)</x:f>
        <x:v>1</x:v>
      </x:c>
      <x:c r="C6" t="n">
        <x:f>IF(A6="","",MOD(A6-1,Parametreler!$B$10)+1)</x:f>
        <x:v>2</x:v>
      </x:c>
      <x:c r="D6" s="26" t="n">
        <x:f>IF(A6="","",INDEX('Veri Kumesi'!$B$5:$B$8,C6))</x:f>
        <x:v>-1</x:v>
      </x:c>
      <x:c r="E6" s="26" t="n">
        <x:f>IF(A6="","",INDEX('Veri Kumesi'!$C$5:$C$8,C6))</x:f>
        <x:v>1</x:v>
      </x:c>
      <x:c r="F6" s="26" t="n">
        <x:f>IF(A6="","",INDEX('Veri Kumesi'!$D$5:$D$8,C6))</x:f>
        <x:v>-1</x:v>
      </x:c>
      <x:c r="G6" s="26" t="n">
        <x:f>IF(A6="","",P5)</x:f>
        <x:v>0.1</x:v>
      </x:c>
      <x:c r="H6" s="26" t="n">
        <x:f>IF(A6="","",Q5)</x:f>
        <x:v>0.1</x:v>
      </x:c>
      <x:c r="I6" s="26" t="n">
        <x:f>IF(A6="","",R5)</x:f>
        <x:v>-0.1</x:v>
      </x:c>
      <x:c r="J6" s="26" t="n">
        <x:f>IF(A6="","",G6*D6+H6*E6+I6)</x:f>
        <x:v>-0.1</x:v>
      </x:c>
      <x:c r="K6" s="26" t="n">
        <x:f>IF(A6="","",F6-J6)</x:f>
        <x:v>-0.9</x:v>
      </x:c>
      <x:c r="L6" s="26" t="n">
        <x:f>IF(A6="","",K6^2)</x:f>
        <x:v>0.81</x:v>
      </x:c>
      <x:c r="M6" s="26" t="n">
        <x:f>IF(A6="","",Parametreler!$B$5*K6*D6)</x:f>
        <x:v>0.09000000000000001</x:v>
      </x:c>
      <x:c r="N6" s="26" t="n">
        <x:f>IF(A6="","",Parametreler!$B$5*K6*E6)</x:f>
        <x:v>-0.09000000000000001</x:v>
      </x:c>
      <x:c r="O6" s="26" t="n">
        <x:f>IF(A6="","",Parametreler!$B$5*K6)</x:f>
        <x:v>-0.09000000000000001</x:v>
      </x:c>
      <x:c r="P6" s="26" t="n">
        <x:f>IF(A6="","",G6+M6)</x:f>
        <x:v>0.19</x:v>
      </x:c>
      <x:c r="Q6" s="26" t="n">
        <x:f>IF(A6="","",H6+N6)</x:f>
        <x:v>0.009999999999999995</x:v>
      </x:c>
      <x:c r="R6" s="26" t="n">
        <x:f>IF(A6="","",I6+O6)</x:f>
        <x:v>-0.19</x:v>
      </x:c>
    </x:row>
    <x:row r="7" ht="20" customHeight="1">
      <x:c r="A7" t="n">
        <x:f>IF(3&lt;=Parametreler!$B$9*Parametreler!$B$10,3,"")</x:f>
        <x:v>3</x:v>
      </x:c>
      <x:c r="B7" t="n">
        <x:f>IF(A7="","",INT((A7-1)/Parametreler!$B$10)+1)</x:f>
        <x:v>1</x:v>
      </x:c>
      <x:c r="C7" t="n">
        <x:f>IF(A7="","",MOD(A7-1,Parametreler!$B$10)+1)</x:f>
        <x:v>3</x:v>
      </x:c>
      <x:c r="D7" s="26" t="n">
        <x:f>IF(A7="","",INDEX('Veri Kumesi'!$B$5:$B$8,C7))</x:f>
        <x:v>1</x:v>
      </x:c>
      <x:c r="E7" s="26" t="n">
        <x:f>IF(A7="","",INDEX('Veri Kumesi'!$C$5:$C$8,C7))</x:f>
        <x:v>-1</x:v>
      </x:c>
      <x:c r="F7" s="26" t="n">
        <x:f>IF(A7="","",INDEX('Veri Kumesi'!$D$5:$D$8,C7))</x:f>
        <x:v>-1</x:v>
      </x:c>
      <x:c r="G7" s="26" t="n">
        <x:f>IF(A7="","",P6)</x:f>
        <x:v>0.19</x:v>
      </x:c>
      <x:c r="H7" s="26" t="n">
        <x:f>IF(A7="","",Q6)</x:f>
        <x:v>0.009999999999999995</x:v>
      </x:c>
      <x:c r="I7" s="26" t="n">
        <x:f>IF(A7="","",R6)</x:f>
        <x:v>-0.19</x:v>
      </x:c>
      <x:c r="J7" s="26" t="n">
        <x:f>IF(A7="","",G7*D7+H7*E7+I7)</x:f>
        <x:v>-0.010000000000000009</x:v>
      </x:c>
      <x:c r="K7" s="26" t="n">
        <x:f>IF(A7="","",F7-J7)</x:f>
        <x:v>-0.99</x:v>
      </x:c>
      <x:c r="L7" s="26" t="n">
        <x:f>IF(A7="","",K7^2)</x:f>
        <x:v>0.9801</x:v>
      </x:c>
      <x:c r="M7" s="26" t="n">
        <x:f>IF(A7="","",Parametreler!$B$5*K7*D7)</x:f>
        <x:v>-0.099</x:v>
      </x:c>
      <x:c r="N7" s="26" t="n">
        <x:f>IF(A7="","",Parametreler!$B$5*K7*E7)</x:f>
        <x:v>0.099</x:v>
      </x:c>
      <x:c r="O7" s="26" t="n">
        <x:f>IF(A7="","",Parametreler!$B$5*K7)</x:f>
        <x:v>-0.099</x:v>
      </x:c>
      <x:c r="P7" s="26" t="n">
        <x:f>IF(A7="","",G7+M7)</x:f>
        <x:v>0.091</x:v>
      </x:c>
      <x:c r="Q7" s="26" t="n">
        <x:f>IF(A7="","",H7+N7)</x:f>
        <x:v>0.109</x:v>
      </x:c>
      <x:c r="R7" s="26" t="n">
        <x:f>IF(A7="","",I7+O7)</x:f>
        <x:v>-0.28900000000000003</x:v>
      </x:c>
    </x:row>
    <x:row r="8" ht="20" customHeight="1">
      <x:c r="A8" t="n">
        <x:f>IF(4&lt;=Parametreler!$B$9*Parametreler!$B$10,4,"")</x:f>
        <x:v>4</x:v>
      </x:c>
      <x:c r="B8" t="n">
        <x:f>IF(A8="","",INT((A8-1)/Parametreler!$B$10)+1)</x:f>
        <x:v>1</x:v>
      </x:c>
      <x:c r="C8" t="n">
        <x:f>IF(A8="","",MOD(A8-1,Parametreler!$B$10)+1)</x:f>
        <x:v>4</x:v>
      </x:c>
      <x:c r="D8" s="26" t="n">
        <x:f>IF(A8="","",INDEX('Veri Kumesi'!$B$5:$B$8,C8))</x:f>
        <x:v>1</x:v>
      </x:c>
      <x:c r="E8" s="26" t="n">
        <x:f>IF(A8="","",INDEX('Veri Kumesi'!$C$5:$C$8,C8))</x:f>
        <x:v>1</x:v>
      </x:c>
      <x:c r="F8" s="26" t="n">
        <x:f>IF(A8="","",INDEX('Veri Kumesi'!$D$5:$D$8,C8))</x:f>
        <x:v>1</x:v>
      </x:c>
      <x:c r="G8" s="26" t="n">
        <x:f>IF(A8="","",P7)</x:f>
        <x:v>0.091</x:v>
      </x:c>
      <x:c r="H8" s="26" t="n">
        <x:f>IF(A8="","",Q7)</x:f>
        <x:v>0.109</x:v>
      </x:c>
      <x:c r="I8" s="26" t="n">
        <x:f>IF(A8="","",R7)</x:f>
        <x:v>-0.28900000000000003</x:v>
      </x:c>
      <x:c r="J8" s="26" t="n">
        <x:f>IF(A8="","",G8*D8+H8*E8+I8)</x:f>
        <x:v>-0.08900000000000002</x:v>
      </x:c>
      <x:c r="K8" s="26" t="n">
        <x:f>IF(A8="","",F8-J8)</x:f>
        <x:v>1.089</x:v>
      </x:c>
      <x:c r="L8" s="26" t="n">
        <x:f>IF(A8="","",K8^2)</x:f>
        <x:v>1.185921</x:v>
      </x:c>
      <x:c r="M8" s="26" t="n">
        <x:f>IF(A8="","",Parametreler!$B$5*K8*D8)</x:f>
        <x:v>0.1089</x:v>
      </x:c>
      <x:c r="N8" s="26" t="n">
        <x:f>IF(A8="","",Parametreler!$B$5*K8*E8)</x:f>
        <x:v>0.1089</x:v>
      </x:c>
      <x:c r="O8" s="26" t="n">
        <x:f>IF(A8="","",Parametreler!$B$5*K8)</x:f>
        <x:v>0.1089</x:v>
      </x:c>
      <x:c r="P8" s="26" t="n">
        <x:f>IF(A8="","",G8+M8)</x:f>
        <x:v>0.1999</x:v>
      </x:c>
      <x:c r="Q8" s="26" t="n">
        <x:f>IF(A8="","",H8+N8)</x:f>
        <x:v>0.21789999999999998</x:v>
      </x:c>
      <x:c r="R8" s="26" t="n">
        <x:f>IF(A8="","",I8+O8)</x:f>
        <x:v>-0.18010000000000004</x:v>
      </x:c>
    </x:row>
    <x:row r="9" ht="20" customHeight="1">
      <x:c r="A9" t="n">
        <x:f>IF(5&lt;=Parametreler!$B$9*Parametreler!$B$10,5,"")</x:f>
        <x:v>5</x:v>
      </x:c>
      <x:c r="B9" t="n">
        <x:f>IF(A9="","",INT((A9-1)/Parametreler!$B$10)+1)</x:f>
        <x:v>2</x:v>
      </x:c>
      <x:c r="C9" t="n">
        <x:f>IF(A9="","",MOD(A9-1,Parametreler!$B$10)+1)</x:f>
        <x:v>1</x:v>
      </x:c>
      <x:c r="D9" s="26" t="n">
        <x:f>IF(A9="","",INDEX('Veri Kumesi'!$B$5:$B$8,C9))</x:f>
        <x:v>-1</x:v>
      </x:c>
      <x:c r="E9" s="26" t="n">
        <x:f>IF(A9="","",INDEX('Veri Kumesi'!$C$5:$C$8,C9))</x:f>
        <x:v>-1</x:v>
      </x:c>
      <x:c r="F9" s="26" t="n">
        <x:f>IF(A9="","",INDEX('Veri Kumesi'!$D$5:$D$8,C9))</x:f>
        <x:v>-1</x:v>
      </x:c>
      <x:c r="G9" s="26" t="n">
        <x:f>IF(A9="","",P8)</x:f>
        <x:v>0.1999</x:v>
      </x:c>
      <x:c r="H9" s="26" t="n">
        <x:f>IF(A9="","",Q8)</x:f>
        <x:v>0.21789999999999998</x:v>
      </x:c>
      <x:c r="I9" s="26" t="n">
        <x:f>IF(A9="","",R8)</x:f>
        <x:v>-0.18010000000000004</x:v>
      </x:c>
      <x:c r="J9" s="26" t="n">
        <x:f>IF(A9="","",G9*D9+H9*E9+I9)</x:f>
        <x:v>-0.5979</x:v>
      </x:c>
      <x:c r="K9" s="26" t="n">
        <x:f>IF(A9="","",F9-J9)</x:f>
        <x:v>-0.4021</x:v>
      </x:c>
      <x:c r="L9" s="26" t="n">
        <x:f>IF(A9="","",K9^2)</x:f>
        <x:v>0.16168441</x:v>
      </x:c>
      <x:c r="M9" s="26" t="n">
        <x:f>IF(A9="","",Parametreler!$B$5*K9*D9)</x:f>
        <x:v>0.04021</x:v>
      </x:c>
      <x:c r="N9" s="26" t="n">
        <x:f>IF(A9="","",Parametreler!$B$5*K9*E9)</x:f>
        <x:v>0.04021</x:v>
      </x:c>
      <x:c r="O9" s="26" t="n">
        <x:f>IF(A9="","",Parametreler!$B$5*K9)</x:f>
        <x:v>-0.04021</x:v>
      </x:c>
      <x:c r="P9" s="26" t="n">
        <x:f>IF(A9="","",G9+M9)</x:f>
        <x:v>0.24011</x:v>
      </x:c>
      <x:c r="Q9" s="26" t="n">
        <x:f>IF(A9="","",H9+N9)</x:f>
        <x:v>0.25811</x:v>
      </x:c>
      <x:c r="R9" s="26" t="n">
        <x:f>IF(A9="","",I9+O9)</x:f>
        <x:v>-0.22031000000000003</x:v>
      </x:c>
    </x:row>
    <x:row r="10" ht="20" customHeight="1">
      <x:c r="A10" t="n">
        <x:f>IF(6&lt;=Parametreler!$B$9*Parametreler!$B$10,6,"")</x:f>
        <x:v>6</x:v>
      </x:c>
      <x:c r="B10" t="n">
        <x:f>IF(A10="","",INT((A10-1)/Parametreler!$B$10)+1)</x:f>
        <x:v>2</x:v>
      </x:c>
      <x:c r="C10" t="n">
        <x:f>IF(A10="","",MOD(A10-1,Parametreler!$B$10)+1)</x:f>
        <x:v>2</x:v>
      </x:c>
      <x:c r="D10" s="26" t="n">
        <x:f>IF(A10="","",INDEX('Veri Kumesi'!$B$5:$B$8,C10))</x:f>
        <x:v>-1</x:v>
      </x:c>
      <x:c r="E10" s="26" t="n">
        <x:f>IF(A10="","",INDEX('Veri Kumesi'!$C$5:$C$8,C10))</x:f>
        <x:v>1</x:v>
      </x:c>
      <x:c r="F10" s="26" t="n">
        <x:f>IF(A10="","",INDEX('Veri Kumesi'!$D$5:$D$8,C10))</x:f>
        <x:v>-1</x:v>
      </x:c>
      <x:c r="G10" s="26" t="n">
        <x:f>IF(A10="","",P9)</x:f>
        <x:v>0.24011</x:v>
      </x:c>
      <x:c r="H10" s="26" t="n">
        <x:f>IF(A10="","",Q9)</x:f>
        <x:v>0.25811</x:v>
      </x:c>
      <x:c r="I10" s="26" t="n">
        <x:f>IF(A10="","",R9)</x:f>
        <x:v>-0.22031000000000003</x:v>
      </x:c>
      <x:c r="J10" s="26" t="n">
        <x:f>IF(A10="","",G10*D10+H10*E10+I10)</x:f>
        <x:v>-0.20231000000000002</x:v>
      </x:c>
      <x:c r="K10" s="26" t="n">
        <x:f>IF(A10="","",F10-J10)</x:f>
        <x:v>-0.79769</x:v>
      </x:c>
      <x:c r="L10" s="26" t="n">
        <x:f>IF(A10="","",K10^2)</x:f>
        <x:v>0.6363093361000001</x:v>
      </x:c>
      <x:c r="M10" s="26" t="n">
        <x:f>IF(A10="","",Parametreler!$B$5*K10*D10)</x:f>
        <x:v>0.079769</x:v>
      </x:c>
      <x:c r="N10" s="26" t="n">
        <x:f>IF(A10="","",Parametreler!$B$5*K10*E10)</x:f>
        <x:v>-0.079769</x:v>
      </x:c>
      <x:c r="O10" s="26" t="n">
        <x:f>IF(A10="","",Parametreler!$B$5*K10)</x:f>
        <x:v>-0.079769</x:v>
      </x:c>
      <x:c r="P10" s="26" t="n">
        <x:f>IF(A10="","",G10+M10)</x:f>
        <x:v>0.319879</x:v>
      </x:c>
      <x:c r="Q10" s="26" t="n">
        <x:f>IF(A10="","",H10+N10)</x:f>
        <x:v>0.178341</x:v>
      </x:c>
      <x:c r="R10" s="26" t="n">
        <x:f>IF(A10="","",I10+O10)</x:f>
        <x:v>-0.30007900000000004</x:v>
      </x:c>
    </x:row>
    <x:row r="11" ht="20" customHeight="1">
      <x:c r="A11" t="n">
        <x:f>IF(7&lt;=Parametreler!$B$9*Parametreler!$B$10,7,"")</x:f>
        <x:v>7</x:v>
      </x:c>
      <x:c r="B11" t="n">
        <x:f>IF(A11="","",INT((A11-1)/Parametreler!$B$10)+1)</x:f>
        <x:v>2</x:v>
      </x:c>
      <x:c r="C11" t="n">
        <x:f>IF(A11="","",MOD(A11-1,Parametreler!$B$10)+1)</x:f>
        <x:v>3</x:v>
      </x:c>
      <x:c r="D11" s="26" t="n">
        <x:f>IF(A11="","",INDEX('Veri Kumesi'!$B$5:$B$8,C11))</x:f>
        <x:v>1</x:v>
      </x:c>
      <x:c r="E11" s="26" t="n">
        <x:f>IF(A11="","",INDEX('Veri Kumesi'!$C$5:$C$8,C11))</x:f>
        <x:v>-1</x:v>
      </x:c>
      <x:c r="F11" s="26" t="n">
        <x:f>IF(A11="","",INDEX('Veri Kumesi'!$D$5:$D$8,C11))</x:f>
        <x:v>-1</x:v>
      </x:c>
      <x:c r="G11" s="26" t="n">
        <x:f>IF(A11="","",P10)</x:f>
        <x:v>0.319879</x:v>
      </x:c>
      <x:c r="H11" s="26" t="n">
        <x:f>IF(A11="","",Q10)</x:f>
        <x:v>0.178341</x:v>
      </x:c>
      <x:c r="I11" s="26" t="n">
        <x:f>IF(A11="","",R10)</x:f>
        <x:v>-0.30007900000000004</x:v>
      </x:c>
      <x:c r="J11" s="26" t="n">
        <x:f>IF(A11="","",G11*D11+H11*E11+I11)</x:f>
        <x:v>-0.15854100000000002</x:v>
      </x:c>
      <x:c r="K11" s="26" t="n">
        <x:f>IF(A11="","",F11-J11)</x:f>
        <x:v>-0.841459</x:v>
      </x:c>
      <x:c r="L11" s="26" t="n">
        <x:f>IF(A11="","",K11^2)</x:f>
        <x:v>0.708053248681</x:v>
      </x:c>
      <x:c r="M11" s="26" t="n">
        <x:f>IF(A11="","",Parametreler!$B$5*K11*D11)</x:f>
        <x:v>-0.0841459</x:v>
      </x:c>
      <x:c r="N11" s="26" t="n">
        <x:f>IF(A11="","",Parametreler!$B$5*K11*E11)</x:f>
        <x:v>0.0841459</x:v>
      </x:c>
      <x:c r="O11" s="26" t="n">
        <x:f>IF(A11="","",Parametreler!$B$5*K11)</x:f>
        <x:v>-0.0841459</x:v>
      </x:c>
      <x:c r="P11" s="26" t="n">
        <x:f>IF(A11="","",G11+M11)</x:f>
        <x:v>0.23573310000000003</x:v>
      </x:c>
      <x:c r="Q11" s="26" t="n">
        <x:f>IF(A11="","",H11+N11)</x:f>
        <x:v>0.26248689999999997</x:v>
      </x:c>
      <x:c r="R11" s="26" t="n">
        <x:f>IF(A11="","",I11+O11)</x:f>
        <x:v>-0.38422490000000004</x:v>
      </x:c>
    </x:row>
    <x:row r="12" ht="20" customHeight="1">
      <x:c r="A12" t="n">
        <x:f>IF(8&lt;=Parametreler!$B$9*Parametreler!$B$10,8,"")</x:f>
        <x:v>8</x:v>
      </x:c>
      <x:c r="B12" t="n">
        <x:f>IF(A12="","",INT((A12-1)/Parametreler!$B$10)+1)</x:f>
        <x:v>2</x:v>
      </x:c>
      <x:c r="C12" t="n">
        <x:f>IF(A12="","",MOD(A12-1,Parametreler!$B$10)+1)</x:f>
        <x:v>4</x:v>
      </x:c>
      <x:c r="D12" s="26" t="n">
        <x:f>IF(A12="","",INDEX('Veri Kumesi'!$B$5:$B$8,C12))</x:f>
        <x:v>1</x:v>
      </x:c>
      <x:c r="E12" s="26" t="n">
        <x:f>IF(A12="","",INDEX('Veri Kumesi'!$C$5:$C$8,C12))</x:f>
        <x:v>1</x:v>
      </x:c>
      <x:c r="F12" s="26" t="n">
        <x:f>IF(A12="","",INDEX('Veri Kumesi'!$D$5:$D$8,C12))</x:f>
        <x:v>1</x:v>
      </x:c>
      <x:c r="G12" s="26" t="n">
        <x:f>IF(A12="","",P11)</x:f>
        <x:v>0.23573310000000003</x:v>
      </x:c>
      <x:c r="H12" s="26" t="n">
        <x:f>IF(A12="","",Q11)</x:f>
        <x:v>0.26248689999999997</x:v>
      </x:c>
      <x:c r="I12" s="26" t="n">
        <x:f>IF(A12="","",R11)</x:f>
        <x:v>-0.38422490000000004</x:v>
      </x:c>
      <x:c r="J12" s="26" t="n">
        <x:f>IF(A12="","",G12*D12+H12*E12+I12)</x:f>
        <x:v>0.11399509999999996</x:v>
      </x:c>
      <x:c r="K12" s="26" t="n">
        <x:f>IF(A12="","",F12-J12)</x:f>
        <x:v>0.8860049000000001</x:v>
      </x:c>
      <x:c r="L12" s="26" t="n">
        <x:f>IF(A12="","",K12^2)</x:f>
        <x:v>0.7850046828240101</x:v>
      </x:c>
      <x:c r="M12" s="26" t="n">
        <x:f>IF(A12="","",Parametreler!$B$5*K12*D12)</x:f>
        <x:v>0.08860049000000002</x:v>
      </x:c>
      <x:c r="N12" s="26" t="n">
        <x:f>IF(A12="","",Parametreler!$B$5*K12*E12)</x:f>
        <x:v>0.08860049000000002</x:v>
      </x:c>
      <x:c r="O12" s="26" t="n">
        <x:f>IF(A12="","",Parametreler!$B$5*K12)</x:f>
        <x:v>0.08860049000000002</x:v>
      </x:c>
      <x:c r="P12" s="26" t="n">
        <x:f>IF(A12="","",G12+M12)</x:f>
        <x:v>0.32433359000000006</x:v>
      </x:c>
      <x:c r="Q12" s="26" t="n">
        <x:f>IF(A12="","",H12+N12)</x:f>
        <x:v>0.35108739</x:v>
      </x:c>
      <x:c r="R12" s="26" t="n">
        <x:f>IF(A12="","",I12+O12)</x:f>
        <x:v>-0.29562441</x:v>
      </x:c>
    </x:row>
    <x:row r="13" ht="20" customHeight="1">
      <x:c r="A13" t="n">
        <x:f>IF(9&lt;=Parametreler!$B$9*Parametreler!$B$10,9,"")</x:f>
        <x:v>9</x:v>
      </x:c>
      <x:c r="B13" t="n">
        <x:f>IF(A13="","",INT((A13-1)/Parametreler!$B$10)+1)</x:f>
        <x:v>3</x:v>
      </x:c>
      <x:c r="C13" t="n">
        <x:f>IF(A13="","",MOD(A13-1,Parametreler!$B$10)+1)</x:f>
        <x:v>1</x:v>
      </x:c>
      <x:c r="D13" s="26" t="n">
        <x:f>IF(A13="","",INDEX('Veri Kumesi'!$B$5:$B$8,C13))</x:f>
        <x:v>-1</x:v>
      </x:c>
      <x:c r="E13" s="26" t="n">
        <x:f>IF(A13="","",INDEX('Veri Kumesi'!$C$5:$C$8,C13))</x:f>
        <x:v>-1</x:v>
      </x:c>
      <x:c r="F13" s="26" t="n">
        <x:f>IF(A13="","",INDEX('Veri Kumesi'!$D$5:$D$8,C13))</x:f>
        <x:v>-1</x:v>
      </x:c>
      <x:c r="G13" s="26" t="n">
        <x:f>IF(A13="","",P12)</x:f>
        <x:v>0.32433359000000006</x:v>
      </x:c>
      <x:c r="H13" s="26" t="n">
        <x:f>IF(A13="","",Q12)</x:f>
        <x:v>0.35108739</x:v>
      </x:c>
      <x:c r="I13" s="26" t="n">
        <x:f>IF(A13="","",R12)</x:f>
        <x:v>-0.29562441</x:v>
      </x:c>
      <x:c r="J13" s="26" t="n">
        <x:f>IF(A13="","",G13*D13+H13*E13+I13)</x:f>
        <x:v>-0.97104539</x:v>
      </x:c>
      <x:c r="K13" s="26" t="n">
        <x:f>IF(A13="","",F13-J13)</x:f>
        <x:v>-0.028954609999999992</x:v>
      </x:c>
      <x:c r="L13" s="26" t="n">
        <x:f>IF(A13="","",K13^2)</x:f>
        <x:v>0.0008383694402520995</x:v>
      </x:c>
      <x:c r="M13" s="26" t="n">
        <x:f>IF(A13="","",Parametreler!$B$5*K13*D13)</x:f>
        <x:v>0.0028954609999999993</x:v>
      </x:c>
      <x:c r="N13" s="26" t="n">
        <x:f>IF(A13="","",Parametreler!$B$5*K13*E13)</x:f>
        <x:v>0.0028954609999999993</x:v>
      </x:c>
      <x:c r="O13" s="26" t="n">
        <x:f>IF(A13="","",Parametreler!$B$5*K13)</x:f>
        <x:v>-0.0028954609999999993</x:v>
      </x:c>
      <x:c r="P13" s="26" t="n">
        <x:f>IF(A13="","",G13+M13)</x:f>
        <x:v>0.32722905100000005</x:v>
      </x:c>
      <x:c r="Q13" s="26" t="n">
        <x:f>IF(A13="","",H13+N13)</x:f>
        <x:v>0.353982851</x:v>
      </x:c>
      <x:c r="R13" s="26" t="n">
        <x:f>IF(A13="","",I13+O13)</x:f>
        <x:v>-0.298519871</x:v>
      </x:c>
    </x:row>
    <x:row r="14" ht="20" customHeight="1">
      <x:c r="A14" t="n">
        <x:f>IF(10&lt;=Parametreler!$B$9*Parametreler!$B$10,10,"")</x:f>
        <x:v>10</x:v>
      </x:c>
      <x:c r="B14" t="n">
        <x:f>IF(A14="","",INT((A14-1)/Parametreler!$B$10)+1)</x:f>
        <x:v>3</x:v>
      </x:c>
      <x:c r="C14" t="n">
        <x:f>IF(A14="","",MOD(A14-1,Parametreler!$B$10)+1)</x:f>
        <x:v>2</x:v>
      </x:c>
      <x:c r="D14" s="26" t="n">
        <x:f>IF(A14="","",INDEX('Veri Kumesi'!$B$5:$B$8,C14))</x:f>
        <x:v>-1</x:v>
      </x:c>
      <x:c r="E14" s="26" t="n">
        <x:f>IF(A14="","",INDEX('Veri Kumesi'!$C$5:$C$8,C14))</x:f>
        <x:v>1</x:v>
      </x:c>
      <x:c r="F14" s="26" t="n">
        <x:f>IF(A14="","",INDEX('Veri Kumesi'!$D$5:$D$8,C14))</x:f>
        <x:v>-1</x:v>
      </x:c>
      <x:c r="G14" s="26" t="n">
        <x:f>IF(A14="","",P13)</x:f>
        <x:v>0.32722905100000005</x:v>
      </x:c>
      <x:c r="H14" s="26" t="n">
        <x:f>IF(A14="","",Q13)</x:f>
        <x:v>0.353982851</x:v>
      </x:c>
      <x:c r="I14" s="26" t="n">
        <x:f>IF(A14="","",R13)</x:f>
        <x:v>-0.298519871</x:v>
      </x:c>
      <x:c r="J14" s="26" t="n">
        <x:f>IF(A14="","",G14*D14+H14*E14+I14)</x:f>
        <x:v>-0.27176607100000005</x:v>
      </x:c>
      <x:c r="K14" s="26" t="n">
        <x:f>IF(A14="","",F14-J14)</x:f>
        <x:v>-0.728233929</x:v>
      </x:c>
      <x:c r="L14" s="26" t="n">
        <x:f>IF(A14="","",K14^2)</x:f>
        <x:v>0.530324655346777</x:v>
      </x:c>
      <x:c r="M14" s="26" t="n">
        <x:f>IF(A14="","",Parametreler!$B$5*K14*D14)</x:f>
        <x:v>0.07282339289999999</x:v>
      </x:c>
      <x:c r="N14" s="26" t="n">
        <x:f>IF(A14="","",Parametreler!$B$5*K14*E14)</x:f>
        <x:v>-0.07282339289999999</x:v>
      </x:c>
      <x:c r="O14" s="26" t="n">
        <x:f>IF(A14="","",Parametreler!$B$5*K14)</x:f>
        <x:v>-0.07282339289999999</x:v>
      </x:c>
      <x:c r="P14" s="26" t="n">
        <x:f>IF(A14="","",G14+M14)</x:f>
        <x:v>0.40005244390000005</x:v>
      </x:c>
      <x:c r="Q14" s="26" t="n">
        <x:f>IF(A14="","",H14+N14)</x:f>
        <x:v>0.2811594581</x:v>
      </x:c>
      <x:c r="R14" s="26" t="n">
        <x:f>IF(A14="","",I14+O14)</x:f>
        <x:v>-0.3713432639</x:v>
      </x:c>
    </x:row>
    <x:row r="15" ht="20" customHeight="1">
      <x:c r="A15" t="n">
        <x:f>IF(11&lt;=Parametreler!$B$9*Parametreler!$B$10,11,"")</x:f>
        <x:v>11</x:v>
      </x:c>
      <x:c r="B15" t="n">
        <x:f>IF(A15="","",INT((A15-1)/Parametreler!$B$10)+1)</x:f>
        <x:v>3</x:v>
      </x:c>
      <x:c r="C15" t="n">
        <x:f>IF(A15="","",MOD(A15-1,Parametreler!$B$10)+1)</x:f>
        <x:v>3</x:v>
      </x:c>
      <x:c r="D15" s="26" t="n">
        <x:f>IF(A15="","",INDEX('Veri Kumesi'!$B$5:$B$8,C15))</x:f>
        <x:v>1</x:v>
      </x:c>
      <x:c r="E15" s="26" t="n">
        <x:f>IF(A15="","",INDEX('Veri Kumesi'!$C$5:$C$8,C15))</x:f>
        <x:v>-1</x:v>
      </x:c>
      <x:c r="F15" s="26" t="n">
        <x:f>IF(A15="","",INDEX('Veri Kumesi'!$D$5:$D$8,C15))</x:f>
        <x:v>-1</x:v>
      </x:c>
      <x:c r="G15" s="26" t="n">
        <x:f>IF(A15="","",P14)</x:f>
        <x:v>0.40005244390000005</x:v>
      </x:c>
      <x:c r="H15" s="26" t="n">
        <x:f>IF(A15="","",Q14)</x:f>
        <x:v>0.2811594581</x:v>
      </x:c>
      <x:c r="I15" s="26" t="n">
        <x:f>IF(A15="","",R14)</x:f>
        <x:v>-0.3713432639</x:v>
      </x:c>
      <x:c r="J15" s="26" t="n">
        <x:f>IF(A15="","",G15*D15+H15*E15+I15)</x:f>
        <x:v>-0.2524502780999999</x:v>
      </x:c>
      <x:c r="K15" s="26" t="n">
        <x:f>IF(A15="","",F15-J15)</x:f>
        <x:v>-0.7475497219</x:v>
      </x:c>
      <x:c r="L15" s="26" t="n">
        <x:f>IF(A15="","",K15^2)</x:f>
        <x:v>0.5588305867127674</x:v>
      </x:c>
      <x:c r="M15" s="26" t="n">
        <x:f>IF(A15="","",Parametreler!$B$5*K15*D15)</x:f>
        <x:v>-0.07475497219</x:v>
      </x:c>
      <x:c r="N15" s="26" t="n">
        <x:f>IF(A15="","",Parametreler!$B$5*K15*E15)</x:f>
        <x:v>0.07475497219</x:v>
      </x:c>
      <x:c r="O15" s="26" t="n">
        <x:f>IF(A15="","",Parametreler!$B$5*K15)</x:f>
        <x:v>-0.07475497219</x:v>
      </x:c>
      <x:c r="P15" s="26" t="n">
        <x:f>IF(A15="","",G15+M15)</x:f>
        <x:v>0.32529747171000006</x:v>
      </x:c>
      <x:c r="Q15" s="26" t="n">
        <x:f>IF(A15="","",H15+N15)</x:f>
        <x:v>0.35591443029</x:v>
      </x:c>
      <x:c r="R15" s="26" t="n">
        <x:f>IF(A15="","",I15+O15)</x:f>
        <x:v>-0.44609823609</x:v>
      </x:c>
    </x:row>
    <x:row r="16" ht="20" customHeight="1">
      <x:c r="A16" t="n">
        <x:f>IF(12&lt;=Parametreler!$B$9*Parametreler!$B$10,12,"")</x:f>
        <x:v>12</x:v>
      </x:c>
      <x:c r="B16" t="n">
        <x:f>IF(A16="","",INT((A16-1)/Parametreler!$B$10)+1)</x:f>
        <x:v>3</x:v>
      </x:c>
      <x:c r="C16" t="n">
        <x:f>IF(A16="","",MOD(A16-1,Parametreler!$B$10)+1)</x:f>
        <x:v>4</x:v>
      </x:c>
      <x:c r="D16" s="26" t="n">
        <x:f>IF(A16="","",INDEX('Veri Kumesi'!$B$5:$B$8,C16))</x:f>
        <x:v>1</x:v>
      </x:c>
      <x:c r="E16" s="26" t="n">
        <x:f>IF(A16="","",INDEX('Veri Kumesi'!$C$5:$C$8,C16))</x:f>
        <x:v>1</x:v>
      </x:c>
      <x:c r="F16" s="26" t="n">
        <x:f>IF(A16="","",INDEX('Veri Kumesi'!$D$5:$D$8,C16))</x:f>
        <x:v>1</x:v>
      </x:c>
      <x:c r="G16" s="26" t="n">
        <x:f>IF(A16="","",P15)</x:f>
        <x:v>0.32529747171000006</x:v>
      </x:c>
      <x:c r="H16" s="26" t="n">
        <x:f>IF(A16="","",Q15)</x:f>
        <x:v>0.35591443029</x:v>
      </x:c>
      <x:c r="I16" s="26" t="n">
        <x:f>IF(A16="","",R15)</x:f>
        <x:v>-0.44609823609</x:v>
      </x:c>
      <x:c r="J16" s="26" t="n">
        <x:f>IF(A16="","",G16*D16+H16*E16+I16)</x:f>
        <x:v>0.23511366591000005</x:v>
      </x:c>
      <x:c r="K16" s="26" t="n">
        <x:f>IF(A16="","",F16-J16)</x:f>
        <x:v>0.76488633409</x:v>
      </x:c>
      <x:c r="L16" s="26" t="n">
        <x:f>IF(A16="","",K16^2)</x:f>
        <x:v>0.585051104077639</x:v>
      </x:c>
      <x:c r="M16" s="26" t="n">
        <x:f>IF(A16="","",Parametreler!$B$5*K16*D16)</x:f>
        <x:v>0.076488633409</x:v>
      </x:c>
      <x:c r="N16" s="26" t="n">
        <x:f>IF(A16="","",Parametreler!$B$5*K16*E16)</x:f>
        <x:v>0.076488633409</x:v>
      </x:c>
      <x:c r="O16" s="26" t="n">
        <x:f>IF(A16="","",Parametreler!$B$5*K16)</x:f>
        <x:v>0.076488633409</x:v>
      </x:c>
      <x:c r="P16" s="26" t="n">
        <x:f>IF(A16="","",G16+M16)</x:f>
        <x:v>0.40178610511900004</x:v>
      </x:c>
      <x:c r="Q16" s="26" t="n">
        <x:f>IF(A16="","",H16+N16)</x:f>
        <x:v>0.43240306369899995</x:v>
      </x:c>
      <x:c r="R16" s="26" t="n">
        <x:f>IF(A16="","",I16+O16)</x:f>
        <x:v>-0.36960960268099996</x:v>
      </x:c>
    </x:row>
    <x:row r="17" ht="20" customHeight="1">
      <x:c r="A17" t="n">
        <x:f>IF(13&lt;=Parametreler!$B$9*Parametreler!$B$10,13,"")</x:f>
        <x:v>13</x:v>
      </x:c>
      <x:c r="B17" t="n">
        <x:f>IF(A17="","",INT((A17-1)/Parametreler!$B$10)+1)</x:f>
        <x:v>4</x:v>
      </x:c>
      <x:c r="C17" t="n">
        <x:f>IF(A17="","",MOD(A17-1,Parametreler!$B$10)+1)</x:f>
        <x:v>1</x:v>
      </x:c>
      <x:c r="D17" s="26" t="n">
        <x:f>IF(A17="","",INDEX('Veri Kumesi'!$B$5:$B$8,C17))</x:f>
        <x:v>-1</x:v>
      </x:c>
      <x:c r="E17" s="26" t="n">
        <x:f>IF(A17="","",INDEX('Veri Kumesi'!$C$5:$C$8,C17))</x:f>
        <x:v>-1</x:v>
      </x:c>
      <x:c r="F17" s="26" t="n">
        <x:f>IF(A17="","",INDEX('Veri Kumesi'!$D$5:$D$8,C17))</x:f>
        <x:v>-1</x:v>
      </x:c>
      <x:c r="G17" s="26" t="n">
        <x:f>IF(A17="","",P16)</x:f>
        <x:v>0.40178610511900004</x:v>
      </x:c>
      <x:c r="H17" s="26" t="n">
        <x:f>IF(A17="","",Q16)</x:f>
        <x:v>0.43240306369899995</x:v>
      </x:c>
      <x:c r="I17" s="26" t="n">
        <x:f>IF(A17="","",R16)</x:f>
        <x:v>-0.36960960268099996</x:v>
      </x:c>
      <x:c r="J17" s="26" t="n">
        <x:f>IF(A17="","",G17*D17+H17*E17+I17)</x:f>
        <x:v>-1.203798771499</x:v>
      </x:c>
      <x:c r="K17" s="26" t="n">
        <x:f>IF(A17="","",F17-J17)</x:f>
        <x:v>0.20379877149899994</x:v>
      </x:c>
      <x:c r="L17" s="26" t="n">
        <x:f>IF(A17="","",K17^2)</x:f>
        <x:v>0.04153393926450159</x:v>
      </x:c>
      <x:c r="M17" s="26" t="n">
        <x:f>IF(A17="","",Parametreler!$B$5*K17*D17)</x:f>
        <x:v>-0.020379877149899996</x:v>
      </x:c>
      <x:c r="N17" s="26" t="n">
        <x:f>IF(A17="","",Parametreler!$B$5*K17*E17)</x:f>
        <x:v>-0.020379877149899996</x:v>
      </x:c>
      <x:c r="O17" s="26" t="n">
        <x:f>IF(A17="","",Parametreler!$B$5*K17)</x:f>
        <x:v>0.020379877149899996</x:v>
      </x:c>
      <x:c r="P17" s="26" t="n">
        <x:f>IF(A17="","",G17+M17)</x:f>
        <x:v>0.38140622796910006</x:v>
      </x:c>
      <x:c r="Q17" s="26" t="n">
        <x:f>IF(A17="","",H17+N17)</x:f>
        <x:v>0.4120231865491</x:v>
      </x:c>
      <x:c r="R17" s="26" t="n">
        <x:f>IF(A17="","",I17+O17)</x:f>
        <x:v>-0.3492297255311</x:v>
      </x:c>
    </x:row>
    <x:row r="18" ht="20" customHeight="1">
      <x:c r="A18" t="n">
        <x:f>IF(14&lt;=Parametreler!$B$9*Parametreler!$B$10,14,"")</x:f>
        <x:v>14</x:v>
      </x:c>
      <x:c r="B18" t="n">
        <x:f>IF(A18="","",INT((A18-1)/Parametreler!$B$10)+1)</x:f>
        <x:v>4</x:v>
      </x:c>
      <x:c r="C18" t="n">
        <x:f>IF(A18="","",MOD(A18-1,Parametreler!$B$10)+1)</x:f>
        <x:v>2</x:v>
      </x:c>
      <x:c r="D18" s="26" t="n">
        <x:f>IF(A18="","",INDEX('Veri Kumesi'!$B$5:$B$8,C18))</x:f>
        <x:v>-1</x:v>
      </x:c>
      <x:c r="E18" s="26" t="n">
        <x:f>IF(A18="","",INDEX('Veri Kumesi'!$C$5:$C$8,C18))</x:f>
        <x:v>1</x:v>
      </x:c>
      <x:c r="F18" s="26" t="n">
        <x:f>IF(A18="","",INDEX('Veri Kumesi'!$D$5:$D$8,C18))</x:f>
        <x:v>-1</x:v>
      </x:c>
      <x:c r="G18" s="26" t="n">
        <x:f>IF(A18="","",P17)</x:f>
        <x:v>0.38140622796910006</x:v>
      </x:c>
      <x:c r="H18" s="26" t="n">
        <x:f>IF(A18="","",Q17)</x:f>
        <x:v>0.4120231865491</x:v>
      </x:c>
      <x:c r="I18" s="26" t="n">
        <x:f>IF(A18="","",R17)</x:f>
        <x:v>-0.3492297255311</x:v>
      </x:c>
      <x:c r="J18" s="26" t="n">
        <x:f>IF(A18="","",G18*D18+H18*E18+I18)</x:f>
        <x:v>-0.3186127669511001</x:v>
      </x:c>
      <x:c r="K18" s="26" t="n">
        <x:f>IF(A18="","",F18-J18)</x:f>
        <x:v>-0.6813872330488999</x:v>
      </x:c>
      <x:c r="L18" s="26" t="n">
        <x:f>IF(A18="","",K18^2)</x:f>
        <x:v>0.46428856136203583</x:v>
      </x:c>
      <x:c r="M18" s="26" t="n">
        <x:f>IF(A18="","",Parametreler!$B$5*K18*D18)</x:f>
        <x:v>0.06813872330489</x:v>
      </x:c>
      <x:c r="N18" s="26" t="n">
        <x:f>IF(A18="","",Parametreler!$B$5*K18*E18)</x:f>
        <x:v>-0.06813872330489</x:v>
      </x:c>
      <x:c r="O18" s="26" t="n">
        <x:f>IF(A18="","",Parametreler!$B$5*K18)</x:f>
        <x:v>-0.06813872330489</x:v>
      </x:c>
      <x:c r="P18" s="26" t="n">
        <x:f>IF(A18="","",G18+M18)</x:f>
        <x:v>0.4495449512739901</x:v>
      </x:c>
      <x:c r="Q18" s="26" t="n">
        <x:f>IF(A18="","",H18+N18)</x:f>
        <x:v>0.34388446324420996</x:v>
      </x:c>
      <x:c r="R18" s="26" t="n">
        <x:f>IF(A18="","",I18+O18)</x:f>
        <x:v>-0.41736844883599</x:v>
      </x:c>
    </x:row>
    <x:row r="19" ht="20" customHeight="1">
      <x:c r="A19" t="n">
        <x:f>IF(15&lt;=Parametreler!$B$9*Parametreler!$B$10,15,"")</x:f>
        <x:v>15</x:v>
      </x:c>
      <x:c r="B19" t="n">
        <x:f>IF(A19="","",INT((A19-1)/Parametreler!$B$10)+1)</x:f>
        <x:v>4</x:v>
      </x:c>
      <x:c r="C19" t="n">
        <x:f>IF(A19="","",MOD(A19-1,Parametreler!$B$10)+1)</x:f>
        <x:v>3</x:v>
      </x:c>
      <x:c r="D19" s="26" t="n">
        <x:f>IF(A19="","",INDEX('Veri Kumesi'!$B$5:$B$8,C19))</x:f>
        <x:v>1</x:v>
      </x:c>
      <x:c r="E19" s="26" t="n">
        <x:f>IF(A19="","",INDEX('Veri Kumesi'!$C$5:$C$8,C19))</x:f>
        <x:v>-1</x:v>
      </x:c>
      <x:c r="F19" s="26" t="n">
        <x:f>IF(A19="","",INDEX('Veri Kumesi'!$D$5:$D$8,C19))</x:f>
        <x:v>-1</x:v>
      </x:c>
      <x:c r="G19" s="26" t="n">
        <x:f>IF(A19="","",P18)</x:f>
        <x:v>0.4495449512739901</x:v>
      </x:c>
      <x:c r="H19" s="26" t="n">
        <x:f>IF(A19="","",Q18)</x:f>
        <x:v>0.34388446324420996</x:v>
      </x:c>
      <x:c r="I19" s="26" t="n">
        <x:f>IF(A19="","",R18)</x:f>
        <x:v>-0.41736844883599</x:v>
      </x:c>
      <x:c r="J19" s="26" t="n">
        <x:f>IF(A19="","",G19*D19+H19*E19+I19)</x:f>
        <x:v>-0.3117079608062099</x:v>
      </x:c>
      <x:c r="K19" s="26" t="n">
        <x:f>IF(A19="","",F19-J19)</x:f>
        <x:v>-0.6882920391937901</x:v>
      </x:c>
      <x:c r="L19" s="26" t="n">
        <x:f>IF(A19="","",K19^2)</x:f>
        <x:v>0.47374593121754593</x:v>
      </x:c>
      <x:c r="M19" s="26" t="n">
        <x:f>IF(A19="","",Parametreler!$B$5*K19*D19)</x:f>
        <x:v>-0.06882920391937901</x:v>
      </x:c>
      <x:c r="N19" s="26" t="n">
        <x:f>IF(A19="","",Parametreler!$B$5*K19*E19)</x:f>
        <x:v>0.06882920391937901</x:v>
      </x:c>
      <x:c r="O19" s="26" t="n">
        <x:f>IF(A19="","",Parametreler!$B$5*K19)</x:f>
        <x:v>-0.06882920391937901</x:v>
      </x:c>
      <x:c r="P19" s="26" t="n">
        <x:f>IF(A19="","",G19+M19)</x:f>
        <x:v>0.38071574735461106</x:v>
      </x:c>
      <x:c r="Q19" s="26" t="n">
        <x:f>IF(A19="","",H19+N19)</x:f>
        <x:v>0.412713667163589</x:v>
      </x:c>
      <x:c r="R19" s="26" t="n">
        <x:f>IF(A19="","",I19+O19)</x:f>
        <x:v>-0.486197652755369</x:v>
      </x:c>
    </x:row>
    <x:row r="20" ht="20" customHeight="1">
      <x:c r="A20" t="n">
        <x:f>IF(16&lt;=Parametreler!$B$9*Parametreler!$B$10,16,"")</x:f>
        <x:v>16</x:v>
      </x:c>
      <x:c r="B20" t="n">
        <x:f>IF(A20="","",INT((A20-1)/Parametreler!$B$10)+1)</x:f>
        <x:v>4</x:v>
      </x:c>
      <x:c r="C20" t="n">
        <x:f>IF(A20="","",MOD(A20-1,Parametreler!$B$10)+1)</x:f>
        <x:v>4</x:v>
      </x:c>
      <x:c r="D20" s="26" t="n">
        <x:f>IF(A20="","",INDEX('Veri Kumesi'!$B$5:$B$8,C20))</x:f>
        <x:v>1</x:v>
      </x:c>
      <x:c r="E20" s="26" t="n">
        <x:f>IF(A20="","",INDEX('Veri Kumesi'!$C$5:$C$8,C20))</x:f>
        <x:v>1</x:v>
      </x:c>
      <x:c r="F20" s="26" t="n">
        <x:f>IF(A20="","",INDEX('Veri Kumesi'!$D$5:$D$8,C20))</x:f>
        <x:v>1</x:v>
      </x:c>
      <x:c r="G20" s="26" t="n">
        <x:f>IF(A20="","",P19)</x:f>
        <x:v>0.38071574735461106</x:v>
      </x:c>
      <x:c r="H20" s="26" t="n">
        <x:f>IF(A20="","",Q19)</x:f>
        <x:v>0.412713667163589</x:v>
      </x:c>
      <x:c r="I20" s="26" t="n">
        <x:f>IF(A20="","",R19)</x:f>
        <x:v>-0.486197652755369</x:v>
      </x:c>
      <x:c r="J20" s="26" t="n">
        <x:f>IF(A20="","",G20*D20+H20*E20+I20)</x:f>
        <x:v>0.307231761762831</x:v>
      </x:c>
      <x:c r="K20" s="26" t="n">
        <x:f>IF(A20="","",F20-J20)</x:f>
        <x:v>0.6927682382371689</x:v>
      </x:c>
      <x:c r="L20" s="26" t="n">
        <x:f>IF(A20="","",K20^2)</x:f>
        <x:v>0.47992783191023086</x:v>
      </x:c>
      <x:c r="M20" s="26" t="n">
        <x:f>IF(A20="","",Parametreler!$B$5*K20*D20)</x:f>
        <x:v>0.0692768238237169</x:v>
      </x:c>
      <x:c r="N20" s="26" t="n">
        <x:f>IF(A20="","",Parametreler!$B$5*K20*E20)</x:f>
        <x:v>0.0692768238237169</x:v>
      </x:c>
      <x:c r="O20" s="26" t="n">
        <x:f>IF(A20="","",Parametreler!$B$5*K20)</x:f>
        <x:v>0.0692768238237169</x:v>
      </x:c>
      <x:c r="P20" s="26" t="n">
        <x:f>IF(A20="","",G20+M20)</x:f>
        <x:v>0.44999257117832797</x:v>
      </x:c>
      <x:c r="Q20" s="26" t="n">
        <x:f>IF(A20="","",H20+N20)</x:f>
        <x:v>0.4819904909873059</x:v>
      </x:c>
      <x:c r="R20" s="26" t="n">
        <x:f>IF(A20="","",I20+O20)</x:f>
        <x:v>-0.4169208289316521</x:v>
      </x:c>
    </x:row>
    <x:row r="21" ht="20" customHeight="1">
      <x:c r="A21" t="n">
        <x:f>IF(17&lt;=Parametreler!$B$9*Parametreler!$B$10,17,"")</x:f>
        <x:v>17</x:v>
      </x:c>
      <x:c r="B21" t="n">
        <x:f>IF(A21="","",INT((A21-1)/Parametreler!$B$10)+1)</x:f>
        <x:v>5</x:v>
      </x:c>
      <x:c r="C21" t="n">
        <x:f>IF(A21="","",MOD(A21-1,Parametreler!$B$10)+1)</x:f>
        <x:v>1</x:v>
      </x:c>
      <x:c r="D21" s="26" t="n">
        <x:f>IF(A21="","",INDEX('Veri Kumesi'!$B$5:$B$8,C21))</x:f>
        <x:v>-1</x:v>
      </x:c>
      <x:c r="E21" s="26" t="n">
        <x:f>IF(A21="","",INDEX('Veri Kumesi'!$C$5:$C$8,C21))</x:f>
        <x:v>-1</x:v>
      </x:c>
      <x:c r="F21" s="26" t="n">
        <x:f>IF(A21="","",INDEX('Veri Kumesi'!$D$5:$D$8,C21))</x:f>
        <x:v>-1</x:v>
      </x:c>
      <x:c r="G21" s="26" t="n">
        <x:f>IF(A21="","",P20)</x:f>
        <x:v>0.44999257117832797</x:v>
      </x:c>
      <x:c r="H21" s="26" t="n">
        <x:f>IF(A21="","",Q20)</x:f>
        <x:v>0.4819904909873059</x:v>
      </x:c>
      <x:c r="I21" s="26" t="n">
        <x:f>IF(A21="","",R20)</x:f>
        <x:v>-0.4169208289316521</x:v>
      </x:c>
      <x:c r="J21" s="26" t="n">
        <x:f>IF(A21="","",G21*D21+H21*E21+I21)</x:f>
        <x:v>-1.348903891097286</x:v>
      </x:c>
      <x:c r="K21" s="26" t="n">
        <x:f>IF(A21="","",F21-J21)</x:f>
        <x:v>0.3489038910972859</x:v>
      </x:c>
      <x:c r="L21" s="26" t="n">
        <x:f>IF(A21="","",K21^2)</x:f>
        <x:v>0.12173392522282675</x:v>
      </x:c>
      <x:c r="M21" s="26" t="n">
        <x:f>IF(A21="","",Parametreler!$B$5*K21*D21)</x:f>
        <x:v>-0.034890389109728595</x:v>
      </x:c>
      <x:c r="N21" s="26" t="n">
        <x:f>IF(A21="","",Parametreler!$B$5*K21*E21)</x:f>
        <x:v>-0.034890389109728595</x:v>
      </x:c>
      <x:c r="O21" s="26" t="n">
        <x:f>IF(A21="","",Parametreler!$B$5*K21)</x:f>
        <x:v>0.034890389109728595</x:v>
      </x:c>
      <x:c r="P21" s="26" t="n">
        <x:f>IF(A21="","",G21+M21)</x:f>
        <x:v>0.4151021820685994</x:v>
      </x:c>
      <x:c r="Q21" s="26" t="n">
        <x:f>IF(A21="","",H21+N21)</x:f>
        <x:v>0.4471001018775773</x:v>
      </x:c>
      <x:c r="R21" s="26" t="n">
        <x:f>IF(A21="","",I21+O21)</x:f>
        <x:v>-0.38203043982192353</x:v>
      </x:c>
    </x:row>
    <x:row r="22" ht="20" customHeight="1">
      <x:c r="A22" t="n">
        <x:f>IF(18&lt;=Parametreler!$B$9*Parametreler!$B$10,18,"")</x:f>
        <x:v>18</x:v>
      </x:c>
      <x:c r="B22" t="n">
        <x:f>IF(A22="","",INT((A22-1)/Parametreler!$B$10)+1)</x:f>
        <x:v>5</x:v>
      </x:c>
      <x:c r="C22" t="n">
        <x:f>IF(A22="","",MOD(A22-1,Parametreler!$B$10)+1)</x:f>
        <x:v>2</x:v>
      </x:c>
      <x:c r="D22" s="26" t="n">
        <x:f>IF(A22="","",INDEX('Veri Kumesi'!$B$5:$B$8,C22))</x:f>
        <x:v>-1</x:v>
      </x:c>
      <x:c r="E22" s="26" t="n">
        <x:f>IF(A22="","",INDEX('Veri Kumesi'!$C$5:$C$8,C22))</x:f>
        <x:v>1</x:v>
      </x:c>
      <x:c r="F22" s="26" t="n">
        <x:f>IF(A22="","",INDEX('Veri Kumesi'!$D$5:$D$8,C22))</x:f>
        <x:v>-1</x:v>
      </x:c>
      <x:c r="G22" s="26" t="n">
        <x:f>IF(A22="","",P21)</x:f>
        <x:v>0.4151021820685994</x:v>
      </x:c>
      <x:c r="H22" s="26" t="n">
        <x:f>IF(A22="","",Q21)</x:f>
        <x:v>0.4471001018775773</x:v>
      </x:c>
      <x:c r="I22" s="26" t="n">
        <x:f>IF(A22="","",R21)</x:f>
        <x:v>-0.38203043982192353</x:v>
      </x:c>
      <x:c r="J22" s="26" t="n">
        <x:f>IF(A22="","",G22*D22+H22*E22+I22)</x:f>
        <x:v>-0.3500325200129456</x:v>
      </x:c>
      <x:c r="K22" s="26" t="n">
        <x:f>IF(A22="","",F22-J22)</x:f>
        <x:v>-0.6499674799870544</x:v>
      </x:c>
      <x:c r="L22" s="26" t="n">
        <x:f>IF(A22="","",K22^2)</x:f>
        <x:v>0.42245772504072193</x:v>
      </x:c>
      <x:c r="M22" s="26" t="n">
        <x:f>IF(A22="","",Parametreler!$B$5*K22*D22)</x:f>
        <x:v>0.06499674799870545</x:v>
      </x:c>
      <x:c r="N22" s="26" t="n">
        <x:f>IF(A22="","",Parametreler!$B$5*K22*E22)</x:f>
        <x:v>-0.06499674799870545</x:v>
      </x:c>
      <x:c r="O22" s="26" t="n">
        <x:f>IF(A22="","",Parametreler!$B$5*K22)</x:f>
        <x:v>-0.06499674799870545</x:v>
      </x:c>
      <x:c r="P22" s="26" t="n">
        <x:f>IF(A22="","",G22+M22)</x:f>
        <x:v>0.48009893006730486</x:v>
      </x:c>
      <x:c r="Q22" s="26" t="n">
        <x:f>IF(A22="","",H22+N22)</x:f>
        <x:v>0.38210335387887184</x:v>
      </x:c>
      <x:c r="R22" s="26" t="n">
        <x:f>IF(A22="","",I22+O22)</x:f>
        <x:v>-0.447027187820629</x:v>
      </x:c>
    </x:row>
    <x:row r="23" ht="20" customHeight="1">
      <x:c r="A23" t="n">
        <x:f>IF(19&lt;=Parametreler!$B$9*Parametreler!$B$10,19,"")</x:f>
        <x:v>19</x:v>
      </x:c>
      <x:c r="B23" t="n">
        <x:f>IF(A23="","",INT((A23-1)/Parametreler!$B$10)+1)</x:f>
        <x:v>5</x:v>
      </x:c>
      <x:c r="C23" t="n">
        <x:f>IF(A23="","",MOD(A23-1,Parametreler!$B$10)+1)</x:f>
        <x:v>3</x:v>
      </x:c>
      <x:c r="D23" s="26" t="n">
        <x:f>IF(A23="","",INDEX('Veri Kumesi'!$B$5:$B$8,C23))</x:f>
        <x:v>1</x:v>
      </x:c>
      <x:c r="E23" s="26" t="n">
        <x:f>IF(A23="","",INDEX('Veri Kumesi'!$C$5:$C$8,C23))</x:f>
        <x:v>-1</x:v>
      </x:c>
      <x:c r="F23" s="26" t="n">
        <x:f>IF(A23="","",INDEX('Veri Kumesi'!$D$5:$D$8,C23))</x:f>
        <x:v>-1</x:v>
      </x:c>
      <x:c r="G23" s="26" t="n">
        <x:f>IF(A23="","",P22)</x:f>
        <x:v>0.48009893006730486</x:v>
      </x:c>
      <x:c r="H23" s="26" t="n">
        <x:f>IF(A23="","",Q22)</x:f>
        <x:v>0.38210335387887184</x:v>
      </x:c>
      <x:c r="I23" s="26" t="n">
        <x:f>IF(A23="","",R22)</x:f>
        <x:v>-0.447027187820629</x:v>
      </x:c>
      <x:c r="J23" s="26" t="n">
        <x:f>IF(A23="","",G23*D23+H23*E23+I23)</x:f>
        <x:v>-0.349031611632196</x:v>
      </x:c>
      <x:c r="K23" s="26" t="n">
        <x:f>IF(A23="","",F23-J23)</x:f>
        <x:v>-0.650968388367804</x:v>
      </x:c>
      <x:c r="L23" s="26" t="n">
        <x:f>IF(A23="","",K23^2)</x:f>
        <x:v>0.4237598426541761</x:v>
      </x:c>
      <x:c r="M23" s="26" t="n">
        <x:f>IF(A23="","",Parametreler!$B$5*K23*D23)</x:f>
        <x:v>-0.0650968388367804</x:v>
      </x:c>
      <x:c r="N23" s="26" t="n">
        <x:f>IF(A23="","",Parametreler!$B$5*K23*E23)</x:f>
        <x:v>0.0650968388367804</x:v>
      </x:c>
      <x:c r="O23" s="26" t="n">
        <x:f>IF(A23="","",Parametreler!$B$5*K23)</x:f>
        <x:v>-0.0650968388367804</x:v>
      </x:c>
      <x:c r="P23" s="26" t="n">
        <x:f>IF(A23="","",G23+M23)</x:f>
        <x:v>0.41500209123052445</x:v>
      </x:c>
      <x:c r="Q23" s="26" t="n">
        <x:f>IF(A23="","",H23+N23)</x:f>
        <x:v>0.44720019271565226</x:v>
      </x:c>
      <x:c r="R23" s="26" t="n">
        <x:f>IF(A23="","",I23+O23)</x:f>
        <x:v>-0.5121240266574094</x:v>
      </x:c>
    </x:row>
    <x:row r="24" ht="20" customHeight="1">
      <x:c r="A24" t="n">
        <x:f>IF(20&lt;=Parametreler!$B$9*Parametreler!$B$10,20,"")</x:f>
        <x:v>20</x:v>
      </x:c>
      <x:c r="B24" t="n">
        <x:f>IF(A24="","",INT((A24-1)/Parametreler!$B$10)+1)</x:f>
        <x:v>5</x:v>
      </x:c>
      <x:c r="C24" t="n">
        <x:f>IF(A24="","",MOD(A24-1,Parametreler!$B$10)+1)</x:f>
        <x:v>4</x:v>
      </x:c>
      <x:c r="D24" s="26" t="n">
        <x:f>IF(A24="","",INDEX('Veri Kumesi'!$B$5:$B$8,C24))</x:f>
        <x:v>1</x:v>
      </x:c>
      <x:c r="E24" s="26" t="n">
        <x:f>IF(A24="","",INDEX('Veri Kumesi'!$C$5:$C$8,C24))</x:f>
        <x:v>1</x:v>
      </x:c>
      <x:c r="F24" s="26" t="n">
        <x:f>IF(A24="","",INDEX('Veri Kumesi'!$D$5:$D$8,C24))</x:f>
        <x:v>1</x:v>
      </x:c>
      <x:c r="G24" s="26" t="n">
        <x:f>IF(A24="","",P23)</x:f>
        <x:v>0.41500209123052445</x:v>
      </x:c>
      <x:c r="H24" s="26" t="n">
        <x:f>IF(A24="","",Q23)</x:f>
        <x:v>0.44720019271565226</x:v>
      </x:c>
      <x:c r="I24" s="26" t="n">
        <x:f>IF(A24="","",R23)</x:f>
        <x:v>-0.5121240266574094</x:v>
      </x:c>
      <x:c r="J24" s="26" t="n">
        <x:f>IF(A24="","",G24*D24+H24*E24+I24)</x:f>
        <x:v>0.3500782572887673</x:v>
      </x:c>
      <x:c r="K24" s="26" t="n">
        <x:f>IF(A24="","",F24-J24)</x:f>
        <x:v>0.6499217427112327</x:v>
      </x:c>
      <x:c r="L24" s="26" t="n">
        <x:f>IF(A24="","",K24^2)</x:f>
        <x:v>0.4223982716488058</x:v>
      </x:c>
      <x:c r="M24" s="26" t="n">
        <x:f>IF(A24="","",Parametreler!$B$5*K24*D24)</x:f>
        <x:v>0.06499217427112328</x:v>
      </x:c>
      <x:c r="N24" s="26" t="n">
        <x:f>IF(A24="","",Parametreler!$B$5*K24*E24)</x:f>
        <x:v>0.06499217427112328</x:v>
      </x:c>
      <x:c r="O24" s="26" t="n">
        <x:f>IF(A24="","",Parametreler!$B$5*K24)</x:f>
        <x:v>0.06499217427112328</x:v>
      </x:c>
      <x:c r="P24" s="26" t="n">
        <x:f>IF(A24="","",G24+M24)</x:f>
        <x:v>0.4799942655016477</x:v>
      </x:c>
      <x:c r="Q24" s="26" t="n">
        <x:f>IF(A24="","",H24+N24)</x:f>
        <x:v>0.5121923669867755</x:v>
      </x:c>
      <x:c r="R24" s="26" t="n">
        <x:f>IF(A24="","",I24+O24)</x:f>
        <x:v>-0.44713185238628617</x:v>
      </x:c>
    </x:row>
    <x:row r="25" ht="20" customHeight="1">
      <x:c r="A25" t="n">
        <x:f>IF(21&lt;=Parametreler!$B$9*Parametreler!$B$10,21,"")</x:f>
        <x:v>21</x:v>
      </x:c>
      <x:c r="B25" t="n">
        <x:f>IF(A25="","",INT((A25-1)/Parametreler!$B$10)+1)</x:f>
        <x:v>6</x:v>
      </x:c>
      <x:c r="C25" t="n">
        <x:f>IF(A25="","",MOD(A25-1,Parametreler!$B$10)+1)</x:f>
        <x:v>1</x:v>
      </x:c>
      <x:c r="D25" s="26" t="n">
        <x:f>IF(A25="","",INDEX('Veri Kumesi'!$B$5:$B$8,C25))</x:f>
        <x:v>-1</x:v>
      </x:c>
      <x:c r="E25" s="26" t="n">
        <x:f>IF(A25="","",INDEX('Veri Kumesi'!$C$5:$C$8,C25))</x:f>
        <x:v>-1</x:v>
      </x:c>
      <x:c r="F25" s="26" t="n">
        <x:f>IF(A25="","",INDEX('Veri Kumesi'!$D$5:$D$8,C25))</x:f>
        <x:v>-1</x:v>
      </x:c>
      <x:c r="G25" s="26" t="n">
        <x:f>IF(A25="","",P24)</x:f>
        <x:v>0.4799942655016477</x:v>
      </x:c>
      <x:c r="H25" s="26" t="n">
        <x:f>IF(A25="","",Q24)</x:f>
        <x:v>0.5121923669867755</x:v>
      </x:c>
      <x:c r="I25" s="26" t="n">
        <x:f>IF(A25="","",R24)</x:f>
        <x:v>-0.44713185238628617</x:v>
      </x:c>
      <x:c r="J25" s="26" t="n">
        <x:f>IF(A25="","",G25*D25+H25*E25+I25)</x:f>
        <x:v>-1.4393184848747094</x:v>
      </x:c>
      <x:c r="K25" s="26" t="n">
        <x:f>IF(A25="","",F25-J25)</x:f>
        <x:v>0.43931848487470937</x:v>
      </x:c>
      <x:c r="L25" s="26" t="n">
        <x:f>IF(A25="","",K25^2)</x:f>
        <x:v>0.19300073115261024</x:v>
      </x:c>
      <x:c r="M25" s="26" t="n">
        <x:f>IF(A25="","",Parametreler!$B$5*K25*D25)</x:f>
        <x:v>-0.04393184848747094</x:v>
      </x:c>
      <x:c r="N25" s="26" t="n">
        <x:f>IF(A25="","",Parametreler!$B$5*K25*E25)</x:f>
        <x:v>-0.04393184848747094</x:v>
      </x:c>
      <x:c r="O25" s="26" t="n">
        <x:f>IF(A25="","",Parametreler!$B$5*K25)</x:f>
        <x:v>0.04393184848747094</x:v>
      </x:c>
      <x:c r="P25" s="26" t="n">
        <x:f>IF(A25="","",G25+M25)</x:f>
        <x:v>0.43606241701417675</x:v>
      </x:c>
      <x:c r="Q25" s="26" t="n">
        <x:f>IF(A25="","",H25+N25)</x:f>
        <x:v>0.46826051849930456</x:v>
      </x:c>
      <x:c r="R25" s="26" t="n">
        <x:f>IF(A25="","",I25+O25)</x:f>
        <x:v>-0.4032000038988152</x:v>
      </x:c>
    </x:row>
    <x:row r="26" ht="20" customHeight="1">
      <x:c r="A26" t="n">
        <x:f>IF(22&lt;=Parametreler!$B$9*Parametreler!$B$10,22,"")</x:f>
        <x:v>22</x:v>
      </x:c>
      <x:c r="B26" t="n">
        <x:f>IF(A26="","",INT((A26-1)/Parametreler!$B$10)+1)</x:f>
        <x:v>6</x:v>
      </x:c>
      <x:c r="C26" t="n">
        <x:f>IF(A26="","",MOD(A26-1,Parametreler!$B$10)+1)</x:f>
        <x:v>2</x:v>
      </x:c>
      <x:c r="D26" s="26" t="n">
        <x:f>IF(A26="","",INDEX('Veri Kumesi'!$B$5:$B$8,C26))</x:f>
        <x:v>-1</x:v>
      </x:c>
      <x:c r="E26" s="26" t="n">
        <x:f>IF(A26="","",INDEX('Veri Kumesi'!$C$5:$C$8,C26))</x:f>
        <x:v>1</x:v>
      </x:c>
      <x:c r="F26" s="26" t="n">
        <x:f>IF(A26="","",INDEX('Veri Kumesi'!$D$5:$D$8,C26))</x:f>
        <x:v>-1</x:v>
      </x:c>
      <x:c r="G26" s="26" t="n">
        <x:f>IF(A26="","",P25)</x:f>
        <x:v>0.43606241701417675</x:v>
      </x:c>
      <x:c r="H26" s="26" t="n">
        <x:f>IF(A26="","",Q25)</x:f>
        <x:v>0.46826051849930456</x:v>
      </x:c>
      <x:c r="I26" s="26" t="n">
        <x:f>IF(A26="","",R25)</x:f>
        <x:v>-0.4032000038988152</x:v>
      </x:c>
      <x:c r="J26" s="26" t="n">
        <x:f>IF(A26="","",G26*D26+H26*E26+I26)</x:f>
        <x:v>-0.3710019024136874</x:v>
      </x:c>
      <x:c r="K26" s="26" t="n">
        <x:f>IF(A26="","",F26-J26)</x:f>
        <x:v>-0.6289980975863125</x:v>
      </x:c>
      <x:c r="L26" s="26" t="n">
        <x:f>IF(A26="","",K26^2)</x:f>
        <x:v>0.39563860676720036</x:v>
      </x:c>
      <x:c r="M26" s="26" t="n">
        <x:f>IF(A26="","",Parametreler!$B$5*K26*D26)</x:f>
        <x:v>0.06289980975863126</x:v>
      </x:c>
      <x:c r="N26" s="26" t="n">
        <x:f>IF(A26="","",Parametreler!$B$5*K26*E26)</x:f>
        <x:v>-0.06289980975863126</x:v>
      </x:c>
      <x:c r="O26" s="26" t="n">
        <x:f>IF(A26="","",Parametreler!$B$5*K26)</x:f>
        <x:v>-0.06289980975863126</x:v>
      </x:c>
      <x:c r="P26" s="26" t="n">
        <x:f>IF(A26="","",G26+M26)</x:f>
        <x:v>0.498962226772808</x:v>
      </x:c>
      <x:c r="Q26" s="26" t="n">
        <x:f>IF(A26="","",H26+N26)</x:f>
        <x:v>0.4053607087406733</x:v>
      </x:c>
      <x:c r="R26" s="26" t="n">
        <x:f>IF(A26="","",I26+O26)</x:f>
        <x:v>-0.46609981365744646</x:v>
      </x:c>
    </x:row>
    <x:row r="27" ht="20" customHeight="1">
      <x:c r="A27" t="n">
        <x:f>IF(23&lt;=Parametreler!$B$9*Parametreler!$B$10,23,"")</x:f>
        <x:v>23</x:v>
      </x:c>
      <x:c r="B27" t="n">
        <x:f>IF(A27="","",INT((A27-1)/Parametreler!$B$10)+1)</x:f>
        <x:v>6</x:v>
      </x:c>
      <x:c r="C27" t="n">
        <x:f>IF(A27="","",MOD(A27-1,Parametreler!$B$10)+1)</x:f>
        <x:v>3</x:v>
      </x:c>
      <x:c r="D27" s="26" t="n">
        <x:f>IF(A27="","",INDEX('Veri Kumesi'!$B$5:$B$8,C27))</x:f>
        <x:v>1</x:v>
      </x:c>
      <x:c r="E27" s="26" t="n">
        <x:f>IF(A27="","",INDEX('Veri Kumesi'!$C$5:$C$8,C27))</x:f>
        <x:v>-1</x:v>
      </x:c>
      <x:c r="F27" s="26" t="n">
        <x:f>IF(A27="","",INDEX('Veri Kumesi'!$D$5:$D$8,C27))</x:f>
        <x:v>-1</x:v>
      </x:c>
      <x:c r="G27" s="26" t="n">
        <x:f>IF(A27="","",P26)</x:f>
        <x:v>0.498962226772808</x:v>
      </x:c>
      <x:c r="H27" s="26" t="n">
        <x:f>IF(A27="","",Q26)</x:f>
        <x:v>0.4053607087406733</x:v>
      </x:c>
      <x:c r="I27" s="26" t="n">
        <x:f>IF(A27="","",R26)</x:f>
        <x:v>-0.46609981365744646</x:v>
      </x:c>
      <x:c r="J27" s="26" t="n">
        <x:f>IF(A27="","",G27*D27+H27*E27+I27)</x:f>
        <x:v>-0.3724982956253118</x:v>
      </x:c>
      <x:c r="K27" s="26" t="n">
        <x:f>IF(A27="","",F27-J27)</x:f>
        <x:v>-0.6275017043746882</x:v>
      </x:c>
      <x:c r="L27" s="26" t="n">
        <x:f>IF(A27="","",K27^2)</x:f>
        <x:v>0.3937583889931386</x:v>
      </x:c>
      <x:c r="M27" s="26" t="n">
        <x:f>IF(A27="","",Parametreler!$B$5*K27*D27)</x:f>
        <x:v>-0.06275017043746882</x:v>
      </x:c>
      <x:c r="N27" s="26" t="n">
        <x:f>IF(A27="","",Parametreler!$B$5*K27*E27)</x:f>
        <x:v>0.06275017043746882</x:v>
      </x:c>
      <x:c r="O27" s="26" t="n">
        <x:f>IF(A27="","",Parametreler!$B$5*K27)</x:f>
        <x:v>-0.06275017043746882</x:v>
      </x:c>
      <x:c r="P27" s="26" t="n">
        <x:f>IF(A27="","",G27+M27)</x:f>
        <x:v>0.43621205633533916</x:v>
      </x:c>
      <x:c r="Q27" s="26" t="n">
        <x:f>IF(A27="","",H27+N27)</x:f>
        <x:v>0.46811087917814215</x:v>
      </x:c>
      <x:c r="R27" s="26" t="n">
        <x:f>IF(A27="","",I27+O27)</x:f>
        <x:v>-0.5288499840949152</x:v>
      </x:c>
    </x:row>
    <x:row r="28" ht="20" customHeight="1">
      <x:c r="A28" t="n">
        <x:f>IF(24&lt;=Parametreler!$B$9*Parametreler!$B$10,24,"")</x:f>
        <x:v>24</x:v>
      </x:c>
      <x:c r="B28" t="n">
        <x:f>IF(A28="","",INT((A28-1)/Parametreler!$B$10)+1)</x:f>
        <x:v>6</x:v>
      </x:c>
      <x:c r="C28" t="n">
        <x:f>IF(A28="","",MOD(A28-1,Parametreler!$B$10)+1)</x:f>
        <x:v>4</x:v>
      </x:c>
      <x:c r="D28" s="26" t="n">
        <x:f>IF(A28="","",INDEX('Veri Kumesi'!$B$5:$B$8,C28))</x:f>
        <x:v>1</x:v>
      </x:c>
      <x:c r="E28" s="26" t="n">
        <x:f>IF(A28="","",INDEX('Veri Kumesi'!$C$5:$C$8,C28))</x:f>
        <x:v>1</x:v>
      </x:c>
      <x:c r="F28" s="26" t="n">
        <x:f>IF(A28="","",INDEX('Veri Kumesi'!$D$5:$D$8,C28))</x:f>
        <x:v>1</x:v>
      </x:c>
      <x:c r="G28" s="26" t="n">
        <x:f>IF(A28="","",P27)</x:f>
        <x:v>0.43621205633533916</x:v>
      </x:c>
      <x:c r="H28" s="26" t="n">
        <x:f>IF(A28="","",Q27)</x:f>
        <x:v>0.46811087917814215</x:v>
      </x:c>
      <x:c r="I28" s="26" t="n">
        <x:f>IF(A28="","",R27)</x:f>
        <x:v>-0.5288499840949152</x:v>
      </x:c>
      <x:c r="J28" s="26" t="n">
        <x:f>IF(A28="","",G28*D28+H28*E28+I28)</x:f>
        <x:v>0.37547295141856607</x:v>
      </x:c>
      <x:c r="K28" s="26" t="n">
        <x:f>IF(A28="","",F28-J28)</x:f>
        <x:v>0.6245270485814339</x:v>
      </x:c>
      <x:c r="L28" s="26" t="n">
        <x:f>IF(A28="","",K28^2)</x:f>
        <x:v>0.39003403440983675</x:v>
      </x:c>
      <x:c r="M28" s="26" t="n">
        <x:f>IF(A28="","",Parametreler!$B$5*K28*D28)</x:f>
        <x:v>0.062452704858143394</x:v>
      </x:c>
      <x:c r="N28" s="26" t="n">
        <x:f>IF(A28="","",Parametreler!$B$5*K28*E28)</x:f>
        <x:v>0.062452704858143394</x:v>
      </x:c>
      <x:c r="O28" s="26" t="n">
        <x:f>IF(A28="","",Parametreler!$B$5*K28)</x:f>
        <x:v>0.062452704858143394</x:v>
      </x:c>
      <x:c r="P28" s="26" t="n">
        <x:f>IF(A28="","",G28+M28)</x:f>
        <x:v>0.4986647611934826</x:v>
      </x:c>
      <x:c r="Q28" s="26" t="n">
        <x:f>IF(A28="","",H28+N28)</x:f>
        <x:v>0.5305635840362856</x:v>
      </x:c>
      <x:c r="R28" s="26" t="n">
        <x:f>IF(A28="","",I28+O28)</x:f>
        <x:v>-0.4663972792367718</x:v>
      </x:c>
    </x:row>
    <x:row r="29" ht="20" customHeight="1">
      <x:c r="A29" t="n">
        <x:f>IF(25&lt;=Parametreler!$B$9*Parametreler!$B$10,25,"")</x:f>
        <x:v>25</x:v>
      </x:c>
      <x:c r="B29" t="n">
        <x:f>IF(A29="","",INT((A29-1)/Parametreler!$B$10)+1)</x:f>
        <x:v>7</x:v>
      </x:c>
      <x:c r="C29" t="n">
        <x:f>IF(A29="","",MOD(A29-1,Parametreler!$B$10)+1)</x:f>
        <x:v>1</x:v>
      </x:c>
      <x:c r="D29" s="26" t="n">
        <x:f>IF(A29="","",INDEX('Veri Kumesi'!$B$5:$B$8,C29))</x:f>
        <x:v>-1</x:v>
      </x:c>
      <x:c r="E29" s="26" t="n">
        <x:f>IF(A29="","",INDEX('Veri Kumesi'!$C$5:$C$8,C29))</x:f>
        <x:v>-1</x:v>
      </x:c>
      <x:c r="F29" s="26" t="n">
        <x:f>IF(A29="","",INDEX('Veri Kumesi'!$D$5:$D$8,C29))</x:f>
        <x:v>-1</x:v>
      </x:c>
      <x:c r="G29" s="26" t="n">
        <x:f>IF(A29="","",P28)</x:f>
        <x:v>0.4986647611934826</x:v>
      </x:c>
      <x:c r="H29" s="26" t="n">
        <x:f>IF(A29="","",Q28)</x:f>
        <x:v>0.5305635840362856</x:v>
      </x:c>
      <x:c r="I29" s="26" t="n">
        <x:f>IF(A29="","",R28)</x:f>
        <x:v>-0.4663972792367718</x:v>
      </x:c>
      <x:c r="J29" s="26" t="n">
        <x:f>IF(A29="","",G29*D29+H29*E29+I29)</x:f>
        <x:v>-1.49562562446654</x:v>
      </x:c>
      <x:c r="K29" s="26" t="n">
        <x:f>IF(A29="","",F29-J29)</x:f>
        <x:v>0.49562562446654</x:v>
      </x:c>
      <x:c r="L29" s="26" t="n">
        <x:f>IF(A29="","",K29^2)</x:f>
        <x:v>0.24564475962784774</x:v>
      </x:c>
      <x:c r="M29" s="26" t="n">
        <x:f>IF(A29="","",Parametreler!$B$5*K29*D29)</x:f>
        <x:v>-0.049562562446654</x:v>
      </x:c>
      <x:c r="N29" s="26" t="n">
        <x:f>IF(A29="","",Parametreler!$B$5*K29*E29)</x:f>
        <x:v>-0.049562562446654</x:v>
      </x:c>
      <x:c r="O29" s="26" t="n">
        <x:f>IF(A29="","",Parametreler!$B$5*K29)</x:f>
        <x:v>0.049562562446654</x:v>
      </x:c>
      <x:c r="P29" s="26" t="n">
        <x:f>IF(A29="","",G29+M29)</x:f>
        <x:v>0.44910219874682855</x:v>
      </x:c>
      <x:c r="Q29" s="26" t="n">
        <x:f>IF(A29="","",H29+N29)</x:f>
        <x:v>0.48100102158963154</x:v>
      </x:c>
      <x:c r="R29" s="26" t="n">
        <x:f>IF(A29="","",I29+O29)</x:f>
        <x:v>-0.4168347167901178</x:v>
      </x:c>
    </x:row>
    <x:row r="30" ht="20" customHeight="1">
      <x:c r="A30" t="n">
        <x:f>IF(26&lt;=Parametreler!$B$9*Parametreler!$B$10,26,"")</x:f>
        <x:v>26</x:v>
      </x:c>
      <x:c r="B30" t="n">
        <x:f>IF(A30="","",INT((A30-1)/Parametreler!$B$10)+1)</x:f>
        <x:v>7</x:v>
      </x:c>
      <x:c r="C30" t="n">
        <x:f>IF(A30="","",MOD(A30-1,Parametreler!$B$10)+1)</x:f>
        <x:v>2</x:v>
      </x:c>
      <x:c r="D30" s="26" t="n">
        <x:f>IF(A30="","",INDEX('Veri Kumesi'!$B$5:$B$8,C30))</x:f>
        <x:v>-1</x:v>
      </x:c>
      <x:c r="E30" s="26" t="n">
        <x:f>IF(A30="","",INDEX('Veri Kumesi'!$C$5:$C$8,C30))</x:f>
        <x:v>1</x:v>
      </x:c>
      <x:c r="F30" s="26" t="n">
        <x:f>IF(A30="","",INDEX('Veri Kumesi'!$D$5:$D$8,C30))</x:f>
        <x:v>-1</x:v>
      </x:c>
      <x:c r="G30" s="26" t="n">
        <x:f>IF(A30="","",P29)</x:f>
        <x:v>0.44910219874682855</x:v>
      </x:c>
      <x:c r="H30" s="26" t="n">
        <x:f>IF(A30="","",Q29)</x:f>
        <x:v>0.48100102158963154</x:v>
      </x:c>
      <x:c r="I30" s="26" t="n">
        <x:f>IF(A30="","",R29)</x:f>
        <x:v>-0.4168347167901178</x:v>
      </x:c>
      <x:c r="J30" s="26" t="n">
        <x:f>IF(A30="","",G30*D30+H30*E30+I30)</x:f>
        <x:v>-0.3849358939473148</x:v>
      </x:c>
      <x:c r="K30" s="26" t="n">
        <x:f>IF(A30="","",F30-J30)</x:f>
        <x:v>-0.6150641060526851</x:v>
      </x:c>
      <x:c r="L30" s="26" t="n">
        <x:f>IF(A30="","",K30^2)</x:f>
        <x:v>0.3783038545543887</x:v>
      </x:c>
      <x:c r="M30" s="26" t="n">
        <x:f>IF(A30="","",Parametreler!$B$5*K30*D30)</x:f>
        <x:v>0.06150641060526851</x:v>
      </x:c>
      <x:c r="N30" s="26" t="n">
        <x:f>IF(A30="","",Parametreler!$B$5*K30*E30)</x:f>
        <x:v>-0.06150641060526851</x:v>
      </x:c>
      <x:c r="O30" s="26" t="n">
        <x:f>IF(A30="","",Parametreler!$B$5*K30)</x:f>
        <x:v>-0.06150641060526851</x:v>
      </x:c>
      <x:c r="P30" s="26" t="n">
        <x:f>IF(A30="","",G30+M30)</x:f>
        <x:v>0.5106086093520971</x:v>
      </x:c>
      <x:c r="Q30" s="26" t="n">
        <x:f>IF(A30="","",H30+N30)</x:f>
        <x:v>0.419494610984363</x:v>
      </x:c>
      <x:c r="R30" s="26" t="n">
        <x:f>IF(A30="","",I30+O30)</x:f>
        <x:v>-0.4783411273953863</x:v>
      </x:c>
    </x:row>
    <x:row r="31" ht="20" customHeight="1">
      <x:c r="A31" t="n">
        <x:f>IF(27&lt;=Parametreler!$B$9*Parametreler!$B$10,27,"")</x:f>
        <x:v>27</x:v>
      </x:c>
      <x:c r="B31" t="n">
        <x:f>IF(A31="","",INT((A31-1)/Parametreler!$B$10)+1)</x:f>
        <x:v>7</x:v>
      </x:c>
      <x:c r="C31" t="n">
        <x:f>IF(A31="","",MOD(A31-1,Parametreler!$B$10)+1)</x:f>
        <x:v>3</x:v>
      </x:c>
      <x:c r="D31" s="26" t="n">
        <x:f>IF(A31="","",INDEX('Veri Kumesi'!$B$5:$B$8,C31))</x:f>
        <x:v>1</x:v>
      </x:c>
      <x:c r="E31" s="26" t="n">
        <x:f>IF(A31="","",INDEX('Veri Kumesi'!$C$5:$C$8,C31))</x:f>
        <x:v>-1</x:v>
      </x:c>
      <x:c r="F31" s="26" t="n">
        <x:f>IF(A31="","",INDEX('Veri Kumesi'!$D$5:$D$8,C31))</x:f>
        <x:v>-1</x:v>
      </x:c>
      <x:c r="G31" s="26" t="n">
        <x:f>IF(A31="","",P30)</x:f>
        <x:v>0.5106086093520971</x:v>
      </x:c>
      <x:c r="H31" s="26" t="n">
        <x:f>IF(A31="","",Q30)</x:f>
        <x:v>0.419494610984363</x:v>
      </x:c>
      <x:c r="I31" s="26" t="n">
        <x:f>IF(A31="","",R30)</x:f>
        <x:v>-0.4783411273953863</x:v>
      </x:c>
      <x:c r="J31" s="26" t="n">
        <x:f>IF(A31="","",G31*D31+H31*E31+I31)</x:f>
        <x:v>-0.3872271290276523</x:v>
      </x:c>
      <x:c r="K31" s="26" t="n">
        <x:f>IF(A31="","",F31-J31)</x:f>
        <x:v>-0.6127728709723477</x:v>
      </x:c>
      <x:c r="L31" s="26" t="n">
        <x:f>IF(A31="","",K31^2)</x:f>
        <x:v>0.37549059139969343</x:v>
      </x:c>
      <x:c r="M31" s="26" t="n">
        <x:f>IF(A31="","",Parametreler!$B$5*K31*D31)</x:f>
        <x:v>-0.06127728709723477</x:v>
      </x:c>
      <x:c r="N31" s="26" t="n">
        <x:f>IF(A31="","",Parametreler!$B$5*K31*E31)</x:f>
        <x:v>0.06127728709723477</x:v>
      </x:c>
      <x:c r="O31" s="26" t="n">
        <x:f>IF(A31="","",Parametreler!$B$5*K31)</x:f>
        <x:v>-0.06127728709723477</x:v>
      </x:c>
      <x:c r="P31" s="26" t="n">
        <x:f>IF(A31="","",G31+M31)</x:f>
        <x:v>0.4493313222548623</x:v>
      </x:c>
      <x:c r="Q31" s="26" t="n">
        <x:f>IF(A31="","",H31+N31)</x:f>
        <x:v>0.4807718980815978</x:v>
      </x:c>
      <x:c r="R31" s="26" t="n">
        <x:f>IF(A31="","",I31+O31)</x:f>
        <x:v>-0.539618414492621</x:v>
      </x:c>
    </x:row>
    <x:row r="32" ht="20" customHeight="1">
      <x:c r="A32" t="n">
        <x:f>IF(28&lt;=Parametreler!$B$9*Parametreler!$B$10,28,"")</x:f>
        <x:v>28</x:v>
      </x:c>
      <x:c r="B32" t="n">
        <x:f>IF(A32="","",INT((A32-1)/Parametreler!$B$10)+1)</x:f>
        <x:v>7</x:v>
      </x:c>
      <x:c r="C32" t="n">
        <x:f>IF(A32="","",MOD(A32-1,Parametreler!$B$10)+1)</x:f>
        <x:v>4</x:v>
      </x:c>
      <x:c r="D32" s="26" t="n">
        <x:f>IF(A32="","",INDEX('Veri Kumesi'!$B$5:$B$8,C32))</x:f>
        <x:v>1</x:v>
      </x:c>
      <x:c r="E32" s="26" t="n">
        <x:f>IF(A32="","",INDEX('Veri Kumesi'!$C$5:$C$8,C32))</x:f>
        <x:v>1</x:v>
      </x:c>
      <x:c r="F32" s="26" t="n">
        <x:f>IF(A32="","",INDEX('Veri Kumesi'!$D$5:$D$8,C32))</x:f>
        <x:v>1</x:v>
      </x:c>
      <x:c r="G32" s="26" t="n">
        <x:f>IF(A32="","",P31)</x:f>
        <x:v>0.4493313222548623</x:v>
      </x:c>
      <x:c r="H32" s="26" t="n">
        <x:f>IF(A32="","",Q31)</x:f>
        <x:v>0.4807718980815978</x:v>
      </x:c>
      <x:c r="I32" s="26" t="n">
        <x:f>IF(A32="","",R31)</x:f>
        <x:v>-0.539618414492621</x:v>
      </x:c>
      <x:c r="J32" s="26" t="n">
        <x:f>IF(A32="","",G32*D32+H32*E32+I32)</x:f>
        <x:v>0.39048480584383904</x:v>
      </x:c>
      <x:c r="K32" s="26" t="n">
        <x:f>IF(A32="","",F32-J32)</x:f>
        <x:v>0.609515194156161</x:v>
      </x:c>
      <x:c r="L32" s="26" t="n">
        <x:f>IF(A32="","",K32^2)</x:f>
        <x:v>0.3715087719072226</x:v>
      </x:c>
      <x:c r="M32" s="26" t="n">
        <x:f>IF(A32="","",Parametreler!$B$5*K32*D32)</x:f>
        <x:v>0.0609515194156161</x:v>
      </x:c>
      <x:c r="N32" s="26" t="n">
        <x:f>IF(A32="","",Parametreler!$B$5*K32*E32)</x:f>
        <x:v>0.0609515194156161</x:v>
      </x:c>
      <x:c r="O32" s="26" t="n">
        <x:f>IF(A32="","",Parametreler!$B$5*K32)</x:f>
        <x:v>0.0609515194156161</x:v>
      </x:c>
      <x:c r="P32" s="26" t="n">
        <x:f>IF(A32="","",G32+M32)</x:f>
        <x:v>0.5102828416704783</x:v>
      </x:c>
      <x:c r="Q32" s="26" t="n">
        <x:f>IF(A32="","",H32+N32)</x:f>
        <x:v>0.5417234174972139</x:v>
      </x:c>
      <x:c r="R32" s="26" t="n">
        <x:f>IF(A32="","",I32+O32)</x:f>
        <x:v>-0.47866689507700494</x:v>
      </x:c>
    </x:row>
    <x:row r="33" ht="20" customHeight="1">
      <x:c r="A33" t="n">
        <x:f>IF(29&lt;=Parametreler!$B$9*Parametreler!$B$10,29,"")</x:f>
        <x:v>29</x:v>
      </x:c>
      <x:c r="B33" t="n">
        <x:f>IF(A33="","",INT((A33-1)/Parametreler!$B$10)+1)</x:f>
        <x:v>8</x:v>
      </x:c>
      <x:c r="C33" t="n">
        <x:f>IF(A33="","",MOD(A33-1,Parametreler!$B$10)+1)</x:f>
        <x:v>1</x:v>
      </x:c>
      <x:c r="D33" s="26" t="n">
        <x:f>IF(A33="","",INDEX('Veri Kumesi'!$B$5:$B$8,C33))</x:f>
        <x:v>-1</x:v>
      </x:c>
      <x:c r="E33" s="26" t="n">
        <x:f>IF(A33="","",INDEX('Veri Kumesi'!$C$5:$C$8,C33))</x:f>
        <x:v>-1</x:v>
      </x:c>
      <x:c r="F33" s="26" t="n">
        <x:f>IF(A33="","",INDEX('Veri Kumesi'!$D$5:$D$8,C33))</x:f>
        <x:v>-1</x:v>
      </x:c>
      <x:c r="G33" s="26" t="n">
        <x:f>IF(A33="","",P32)</x:f>
        <x:v>0.5102828416704783</x:v>
      </x:c>
      <x:c r="H33" s="26" t="n">
        <x:f>IF(A33="","",Q32)</x:f>
        <x:v>0.5417234174972139</x:v>
      </x:c>
      <x:c r="I33" s="26" t="n">
        <x:f>IF(A33="","",R32)</x:f>
        <x:v>-0.47866689507700494</x:v>
      </x:c>
      <x:c r="J33" s="26" t="n">
        <x:f>IF(A33="","",G33*D33+H33*E33+I33)</x:f>
        <x:v>-1.5306731542446972</x:v>
      </x:c>
      <x:c r="K33" s="26" t="n">
        <x:f>IF(A33="","",F33-J33)</x:f>
        <x:v>0.5306731542446972</x:v>
      </x:c>
      <x:c r="L33" s="26" t="n">
        <x:f>IF(A33="","",K33^2)</x:f>
        <x:v>0.28161399663601616</x:v>
      </x:c>
      <x:c r="M33" s="26" t="n">
        <x:f>IF(A33="","",Parametreler!$B$5*K33*D33)</x:f>
        <x:v>-0.05306731542446972</x:v>
      </x:c>
      <x:c r="N33" s="26" t="n">
        <x:f>IF(A33="","",Parametreler!$B$5*K33*E33)</x:f>
        <x:v>-0.05306731542446972</x:v>
      </x:c>
      <x:c r="O33" s="26" t="n">
        <x:f>IF(A33="","",Parametreler!$B$5*K33)</x:f>
        <x:v>0.05306731542446972</x:v>
      </x:c>
      <x:c r="P33" s="26" t="n">
        <x:f>IF(A33="","",G33+M33)</x:f>
        <x:v>0.4572155262460086</x:v>
      </x:c>
      <x:c r="Q33" s="26" t="n">
        <x:f>IF(A33="","",H33+N33)</x:f>
        <x:v>0.4886561020727441</x:v>
      </x:c>
      <x:c r="R33" s="26" t="n">
        <x:f>IF(A33="","",I33+O33)</x:f>
        <x:v>-0.4255995796525352</x:v>
      </x:c>
    </x:row>
    <x:row r="34" ht="20" customHeight="1">
      <x:c r="A34" t="n">
        <x:f>IF(30&lt;=Parametreler!$B$9*Parametreler!$B$10,30,"")</x:f>
        <x:v>30</x:v>
      </x:c>
      <x:c r="B34" t="n">
        <x:f>IF(A34="","",INT((A34-1)/Parametreler!$B$10)+1)</x:f>
        <x:v>8</x:v>
      </x:c>
      <x:c r="C34" t="n">
        <x:f>IF(A34="","",MOD(A34-1,Parametreler!$B$10)+1)</x:f>
        <x:v>2</x:v>
      </x:c>
      <x:c r="D34" s="26" t="n">
        <x:f>IF(A34="","",INDEX('Veri Kumesi'!$B$5:$B$8,C34))</x:f>
        <x:v>-1</x:v>
      </x:c>
      <x:c r="E34" s="26" t="n">
        <x:f>IF(A34="","",INDEX('Veri Kumesi'!$C$5:$C$8,C34))</x:f>
        <x:v>1</x:v>
      </x:c>
      <x:c r="F34" s="26" t="n">
        <x:f>IF(A34="","",INDEX('Veri Kumesi'!$D$5:$D$8,C34))</x:f>
        <x:v>-1</x:v>
      </x:c>
      <x:c r="G34" s="26" t="n">
        <x:f>IF(A34="","",P33)</x:f>
        <x:v>0.4572155262460086</x:v>
      </x:c>
      <x:c r="H34" s="26" t="n">
        <x:f>IF(A34="","",Q33)</x:f>
        <x:v>0.4886561020727441</x:v>
      </x:c>
      <x:c r="I34" s="26" t="n">
        <x:f>IF(A34="","",R33)</x:f>
        <x:v>-0.4255995796525352</x:v>
      </x:c>
      <x:c r="J34" s="26" t="n">
        <x:f>IF(A34="","",G34*D34+H34*E34+I34)</x:f>
        <x:v>-0.39415900382579966</x:v>
      </x:c>
      <x:c r="K34" s="26" t="n">
        <x:f>IF(A34="","",F34-J34)</x:f>
        <x:v>-0.6058409961742004</x:v>
      </x:c>
      <x:c r="L34" s="26" t="n">
        <x:f>IF(A34="","",K34^2)</x:f>
        <x:v>0.3670433126453475</x:v>
      </x:c>
      <x:c r="M34" s="26" t="n">
        <x:f>IF(A34="","",Parametreler!$B$5*K34*D34)</x:f>
        <x:v>0.06058409961742004</x:v>
      </x:c>
      <x:c r="N34" s="26" t="n">
        <x:f>IF(A34="","",Parametreler!$B$5*K34*E34)</x:f>
        <x:v>-0.06058409961742004</x:v>
      </x:c>
      <x:c r="O34" s="26" t="n">
        <x:f>IF(A34="","",Parametreler!$B$5*K34)</x:f>
        <x:v>-0.06058409961742004</x:v>
      </x:c>
      <x:c r="P34" s="26" t="n">
        <x:f>IF(A34="","",G34+M34)</x:f>
        <x:v>0.5177996258634286</x:v>
      </x:c>
      <x:c r="Q34" s="26" t="n">
        <x:f>IF(A34="","",H34+N34)</x:f>
        <x:v>0.42807200245532406</x:v>
      </x:c>
      <x:c r="R34" s="26" t="n">
        <x:f>IF(A34="","",I34+O34)</x:f>
        <x:v>-0.48618367926995526</x:v>
      </x:c>
    </x:row>
    <x:row r="35" ht="20" customHeight="1">
      <x:c r="A35" t="n">
        <x:f>IF(31&lt;=Parametreler!$B$9*Parametreler!$B$10,31,"")</x:f>
        <x:v>31</x:v>
      </x:c>
      <x:c r="B35" t="n">
        <x:f>IF(A35="","",INT((A35-1)/Parametreler!$B$10)+1)</x:f>
        <x:v>8</x:v>
      </x:c>
      <x:c r="C35" t="n">
        <x:f>IF(A35="","",MOD(A35-1,Parametreler!$B$10)+1)</x:f>
        <x:v>3</x:v>
      </x:c>
      <x:c r="D35" s="26" t="n">
        <x:f>IF(A35="","",INDEX('Veri Kumesi'!$B$5:$B$8,C35))</x:f>
        <x:v>1</x:v>
      </x:c>
      <x:c r="E35" s="26" t="n">
        <x:f>IF(A35="","",INDEX('Veri Kumesi'!$C$5:$C$8,C35))</x:f>
        <x:v>-1</x:v>
      </x:c>
      <x:c r="F35" s="26" t="n">
        <x:f>IF(A35="","",INDEX('Veri Kumesi'!$D$5:$D$8,C35))</x:f>
        <x:v>-1</x:v>
      </x:c>
      <x:c r="G35" s="26" t="n">
        <x:f>IF(A35="","",P34)</x:f>
        <x:v>0.5177996258634286</x:v>
      </x:c>
      <x:c r="H35" s="26" t="n">
        <x:f>IF(A35="","",Q34)</x:f>
        <x:v>0.42807200245532406</x:v>
      </x:c>
      <x:c r="I35" s="26" t="n">
        <x:f>IF(A35="","",R34)</x:f>
        <x:v>-0.48618367926995526</x:v>
      </x:c>
      <x:c r="J35" s="26" t="n">
        <x:f>IF(A35="","",G35*D35+H35*E35+I35)</x:f>
        <x:v>-0.3964560558618507</x:v>
      </x:c>
      <x:c r="K35" s="26" t="n">
        <x:f>IF(A35="","",F35-J35)</x:f>
        <x:v>-0.6035439441381494</x:v>
      </x:c>
      <x:c r="L35" s="26" t="n">
        <x:f>IF(A35="","",K35^2)</x:f>
        <x:v>0.36426529250583356</x:v>
      </x:c>
      <x:c r="M35" s="26" t="n">
        <x:f>IF(A35="","",Parametreler!$B$5*K35*D35)</x:f>
        <x:v>-0.06035439441381494</x:v>
      </x:c>
      <x:c r="N35" s="26" t="n">
        <x:f>IF(A35="","",Parametreler!$B$5*K35*E35)</x:f>
        <x:v>0.06035439441381494</x:v>
      </x:c>
      <x:c r="O35" s="26" t="n">
        <x:f>IF(A35="","",Parametreler!$B$5*K35)</x:f>
        <x:v>-0.06035439441381494</x:v>
      </x:c>
      <x:c r="P35" s="26" t="n">
        <x:f>IF(A35="","",G35+M35)</x:f>
        <x:v>0.4574452314496137</x:v>
      </x:c>
      <x:c r="Q35" s="26" t="n">
        <x:f>IF(A35="","",H35+N35)</x:f>
        <x:v>0.488426396869139</x:v>
      </x:c>
      <x:c r="R35" s="26" t="n">
        <x:f>IF(A35="","",I35+O35)</x:f>
        <x:v>-0.5465380736837702</x:v>
      </x:c>
    </x:row>
    <x:row r="36" ht="20" customHeight="1">
      <x:c r="A36" t="n">
        <x:f>IF(32&lt;=Parametreler!$B$9*Parametreler!$B$10,32,"")</x:f>
        <x:v>32</x:v>
      </x:c>
      <x:c r="B36" t="n">
        <x:f>IF(A36="","",INT((A36-1)/Parametreler!$B$10)+1)</x:f>
        <x:v>8</x:v>
      </x:c>
      <x:c r="C36" t="n">
        <x:f>IF(A36="","",MOD(A36-1,Parametreler!$B$10)+1)</x:f>
        <x:v>4</x:v>
      </x:c>
      <x:c r="D36" s="26" t="n">
        <x:f>IF(A36="","",INDEX('Veri Kumesi'!$B$5:$B$8,C36))</x:f>
        <x:v>1</x:v>
      </x:c>
      <x:c r="E36" s="26" t="n">
        <x:f>IF(A36="","",INDEX('Veri Kumesi'!$C$5:$C$8,C36))</x:f>
        <x:v>1</x:v>
      </x:c>
      <x:c r="F36" s="26" t="n">
        <x:f>IF(A36="","",INDEX('Veri Kumesi'!$D$5:$D$8,C36))</x:f>
        <x:v>1</x:v>
      </x:c>
      <x:c r="G36" s="26" t="n">
        <x:f>IF(A36="","",P35)</x:f>
        <x:v>0.4574452314496137</x:v>
      </x:c>
      <x:c r="H36" s="26" t="n">
        <x:f>IF(A36="","",Q35)</x:f>
        <x:v>0.488426396869139</x:v>
      </x:c>
      <x:c r="I36" s="26" t="n">
        <x:f>IF(A36="","",R35)</x:f>
        <x:v>-0.5465380736837702</x:v>
      </x:c>
      <x:c r="J36" s="26" t="n">
        <x:f>IF(A36="","",G36*D36+H36*E36+I36)</x:f>
        <x:v>0.39933355463498255</x:v>
      </x:c>
      <x:c r="K36" s="26" t="n">
        <x:f>IF(A36="","",F36-J36)</x:f>
        <x:v>0.6006664453650175</x:v>
      </x:c>
      <x:c r="L36" s="26" t="n">
        <x:f>IF(A36="","",K36^2)</x:f>
        <x:v>0.3608001785874455</x:v>
      </x:c>
      <x:c r="M36" s="26" t="n">
        <x:f>IF(A36="","",Parametreler!$B$5*K36*D36)</x:f>
        <x:v>0.06006664453650175</x:v>
      </x:c>
      <x:c r="N36" s="26" t="n">
        <x:f>IF(A36="","",Parametreler!$B$5*K36*E36)</x:f>
        <x:v>0.06006664453650175</x:v>
      </x:c>
      <x:c r="O36" s="26" t="n">
        <x:f>IF(A36="","",Parametreler!$B$5*K36)</x:f>
        <x:v>0.06006664453650175</x:v>
      </x:c>
      <x:c r="P36" s="26" t="n">
        <x:f>IF(A36="","",G36+M36)</x:f>
        <x:v>0.5175118759861155</x:v>
      </x:c>
      <x:c r="Q36" s="26" t="n">
        <x:f>IF(A36="","",H36+N36)</x:f>
        <x:v>0.5484930414056408</x:v>
      </x:c>
      <x:c r="R36" s="26" t="n">
        <x:f>IF(A36="","",I36+O36)</x:f>
        <x:v>-0.48647142914726843</x:v>
      </x:c>
    </x:row>
    <x:row r="37" ht="20" customHeight="1">
      <x:c r="A37" t="n">
        <x:f>IF(33&lt;=Parametreler!$B$9*Parametreler!$B$10,33,"")</x:f>
        <x:v>33</x:v>
      </x:c>
      <x:c r="B37" t="n">
        <x:f>IF(A37="","",INT((A37-1)/Parametreler!$B$10)+1)</x:f>
        <x:v>9</x:v>
      </x:c>
      <x:c r="C37" t="n">
        <x:f>IF(A37="","",MOD(A37-1,Parametreler!$B$10)+1)</x:f>
        <x:v>1</x:v>
      </x:c>
      <x:c r="D37" s="26" t="n">
        <x:f>IF(A37="","",INDEX('Veri Kumesi'!$B$5:$B$8,C37))</x:f>
        <x:v>-1</x:v>
      </x:c>
      <x:c r="E37" s="26" t="n">
        <x:f>IF(A37="","",INDEX('Veri Kumesi'!$C$5:$C$8,C37))</x:f>
        <x:v>-1</x:v>
      </x:c>
      <x:c r="F37" s="26" t="n">
        <x:f>IF(A37="","",INDEX('Veri Kumesi'!$D$5:$D$8,C37))</x:f>
        <x:v>-1</x:v>
      </x:c>
      <x:c r="G37" s="26" t="n">
        <x:f>IF(A37="","",P36)</x:f>
        <x:v>0.5175118759861155</x:v>
      </x:c>
      <x:c r="H37" s="26" t="n">
        <x:f>IF(A37="","",Q36)</x:f>
        <x:v>0.5484930414056408</x:v>
      </x:c>
      <x:c r="I37" s="26" t="n">
        <x:f>IF(A37="","",R36)</x:f>
        <x:v>-0.48647142914726843</x:v>
      </x:c>
      <x:c r="J37" s="26" t="n">
        <x:f>IF(A37="","",G37*D37+H37*E37+I37)</x:f>
        <x:v>-1.5524763465390248</x:v>
      </x:c>
      <x:c r="K37" s="26" t="n">
        <x:f>IF(A37="","",F37-J37)</x:f>
        <x:v>0.5524763465390248</x:v>
      </x:c>
      <x:c r="L37" s="26" t="n">
        <x:f>IF(A37="","",K37^2)</x:f>
        <x:v>0.3052301134851086</x:v>
      </x:c>
      <x:c r="M37" s="26" t="n">
        <x:f>IF(A37="","",Parametreler!$B$5*K37*D37)</x:f>
        <x:v>-0.05524763465390248</x:v>
      </x:c>
      <x:c r="N37" s="26" t="n">
        <x:f>IF(A37="","",Parametreler!$B$5*K37*E37)</x:f>
        <x:v>-0.05524763465390248</x:v>
      </x:c>
      <x:c r="O37" s="26" t="n">
        <x:f>IF(A37="","",Parametreler!$B$5*K37)</x:f>
        <x:v>0.05524763465390248</x:v>
      </x:c>
      <x:c r="P37" s="26" t="n">
        <x:f>IF(A37="","",G37+M37)</x:f>
        <x:v>0.462264241332213</x:v>
      </x:c>
      <x:c r="Q37" s="26" t="n">
        <x:f>IF(A37="","",H37+N37)</x:f>
        <x:v>0.49324540675173834</x:v>
      </x:c>
      <x:c r="R37" s="26" t="n">
        <x:f>IF(A37="","",I37+O37)</x:f>
        <x:v>-0.43122379449336595</x:v>
      </x:c>
    </x:row>
    <x:row r="38" ht="20" customHeight="1">
      <x:c r="A38" t="n">
        <x:f>IF(34&lt;=Parametreler!$B$9*Parametreler!$B$10,34,"")</x:f>
        <x:v>34</x:v>
      </x:c>
      <x:c r="B38" t="n">
        <x:f>IF(A38="","",INT((A38-1)/Parametreler!$B$10)+1)</x:f>
        <x:v>9</x:v>
      </x:c>
      <x:c r="C38" t="n">
        <x:f>IF(A38="","",MOD(A38-1,Parametreler!$B$10)+1)</x:f>
        <x:v>2</x:v>
      </x:c>
      <x:c r="D38" s="26" t="n">
        <x:f>IF(A38="","",INDEX('Veri Kumesi'!$B$5:$B$8,C38))</x:f>
        <x:v>-1</x:v>
      </x:c>
      <x:c r="E38" s="26" t="n">
        <x:f>IF(A38="","",INDEX('Veri Kumesi'!$C$5:$C$8,C38))</x:f>
        <x:v>1</x:v>
      </x:c>
      <x:c r="F38" s="26" t="n">
        <x:f>IF(A38="","",INDEX('Veri Kumesi'!$D$5:$D$8,C38))</x:f>
        <x:v>-1</x:v>
      </x:c>
      <x:c r="G38" s="26" t="n">
        <x:f>IF(A38="","",P37)</x:f>
        <x:v>0.462264241332213</x:v>
      </x:c>
      <x:c r="H38" s="26" t="n">
        <x:f>IF(A38="","",Q37)</x:f>
        <x:v>0.49324540675173834</x:v>
      </x:c>
      <x:c r="I38" s="26" t="n">
        <x:f>IF(A38="","",R37)</x:f>
        <x:v>-0.43122379449336595</x:v>
      </x:c>
      <x:c r="J38" s="26" t="n">
        <x:f>IF(A38="","",G38*D38+H38*E38+I38)</x:f>
        <x:v>-0.4002426290738406</x:v>
      </x:c>
      <x:c r="K38" s="26" t="n">
        <x:f>IF(A38="","",F38-J38)</x:f>
        <x:v>-0.5997573709261594</x:v>
      </x:c>
      <x:c r="L38" s="26" t="n">
        <x:f>IF(A38="","",K38^2)</x:f>
        <x:v>0.3597089039802588</x:v>
      </x:c>
      <x:c r="M38" s="26" t="n">
        <x:f>IF(A38="","",Parametreler!$B$5*K38*D38)</x:f>
        <x:v>0.059975737092615944</x:v>
      </x:c>
      <x:c r="N38" s="26" t="n">
        <x:f>IF(A38="","",Parametreler!$B$5*K38*E38)</x:f>
        <x:v>-0.059975737092615944</x:v>
      </x:c>
      <x:c r="O38" s="26" t="n">
        <x:f>IF(A38="","",Parametreler!$B$5*K38)</x:f>
        <x:v>-0.059975737092615944</x:v>
      </x:c>
      <x:c r="P38" s="26" t="n">
        <x:f>IF(A38="","",G38+M38)</x:f>
        <x:v>0.5222399784248289</x:v>
      </x:c>
      <x:c r="Q38" s="26" t="n">
        <x:f>IF(A38="","",H38+N38)</x:f>
        <x:v>0.4332696696591224</x:v>
      </x:c>
      <x:c r="R38" s="26" t="n">
        <x:f>IF(A38="","",I38+O38)</x:f>
        <x:v>-0.4911995315859819</x:v>
      </x:c>
    </x:row>
    <x:row r="39" ht="20" customHeight="1">
      <x:c r="A39" t="n">
        <x:f>IF(35&lt;=Parametreler!$B$9*Parametreler!$B$10,35,"")</x:f>
        <x:v>35</x:v>
      </x:c>
      <x:c r="B39" t="n">
        <x:f>IF(A39="","",INT((A39-1)/Parametreler!$B$10)+1)</x:f>
        <x:v>9</x:v>
      </x:c>
      <x:c r="C39" t="n">
        <x:f>IF(A39="","",MOD(A39-1,Parametreler!$B$10)+1)</x:f>
        <x:v>3</x:v>
      </x:c>
      <x:c r="D39" s="26" t="n">
        <x:f>IF(A39="","",INDEX('Veri Kumesi'!$B$5:$B$8,C39))</x:f>
        <x:v>1</x:v>
      </x:c>
      <x:c r="E39" s="26" t="n">
        <x:f>IF(A39="","",INDEX('Veri Kumesi'!$C$5:$C$8,C39))</x:f>
        <x:v>-1</x:v>
      </x:c>
      <x:c r="F39" s="26" t="n">
        <x:f>IF(A39="","",INDEX('Veri Kumesi'!$D$5:$D$8,C39))</x:f>
        <x:v>-1</x:v>
      </x:c>
      <x:c r="G39" s="26" t="n">
        <x:f>IF(A39="","",P38)</x:f>
        <x:v>0.5222399784248289</x:v>
      </x:c>
      <x:c r="H39" s="26" t="n">
        <x:f>IF(A39="","",Q38)</x:f>
        <x:v>0.4332696696591224</x:v>
      </x:c>
      <x:c r="I39" s="26" t="n">
        <x:f>IF(A39="","",R38)</x:f>
        <x:v>-0.4911995315859819</x:v>
      </x:c>
      <x:c r="J39" s="26" t="n">
        <x:f>IF(A39="","",G39*D39+H39*E39+I39)</x:f>
        <x:v>-0.40222922282027535</x:v>
      </x:c>
      <x:c r="K39" s="26" t="n">
        <x:f>IF(A39="","",F39-J39)</x:f>
        <x:v>-0.5977707771797247</x:v>
      </x:c>
      <x:c r="L39" s="26" t="n">
        <x:f>IF(A39="","",K39^2)</x:f>
        <x:v>0.3573299020500521</x:v>
      </x:c>
      <x:c r="M39" s="26" t="n">
        <x:f>IF(A39="","",Parametreler!$B$5*K39*D39)</x:f>
        <x:v>-0.05977707771797247</x:v>
      </x:c>
      <x:c r="N39" s="26" t="n">
        <x:f>IF(A39="","",Parametreler!$B$5*K39*E39)</x:f>
        <x:v>0.05977707771797247</x:v>
      </x:c>
      <x:c r="O39" s="26" t="n">
        <x:f>IF(A39="","",Parametreler!$B$5*K39)</x:f>
        <x:v>-0.05977707771797247</x:v>
      </x:c>
      <x:c r="P39" s="26" t="n">
        <x:f>IF(A39="","",G39+M39)</x:f>
        <x:v>0.4624629007068565</x:v>
      </x:c>
      <x:c r="Q39" s="26" t="n">
        <x:f>IF(A39="","",H39+N39)</x:f>
        <x:v>0.49304674737709486</x:v>
      </x:c>
      <x:c r="R39" s="26" t="n">
        <x:f>IF(A39="","",I39+O39)</x:f>
        <x:v>-0.5509766093039543</x:v>
      </x:c>
    </x:row>
    <x:row r="40" ht="20" customHeight="1">
      <x:c r="A40" t="n">
        <x:f>IF(36&lt;=Parametreler!$B$9*Parametreler!$B$10,36,"")</x:f>
        <x:v>36</x:v>
      </x:c>
      <x:c r="B40" t="n">
        <x:f>IF(A40="","",INT((A40-1)/Parametreler!$B$10)+1)</x:f>
        <x:v>9</x:v>
      </x:c>
      <x:c r="C40" t="n">
        <x:f>IF(A40="","",MOD(A40-1,Parametreler!$B$10)+1)</x:f>
        <x:v>4</x:v>
      </x:c>
      <x:c r="D40" s="26" t="n">
        <x:f>IF(A40="","",INDEX('Veri Kumesi'!$B$5:$B$8,C40))</x:f>
        <x:v>1</x:v>
      </x:c>
      <x:c r="E40" s="26" t="n">
        <x:f>IF(A40="","",INDEX('Veri Kumesi'!$C$5:$C$8,C40))</x:f>
        <x:v>1</x:v>
      </x:c>
      <x:c r="F40" s="26" t="n">
        <x:f>IF(A40="","",INDEX('Veri Kumesi'!$D$5:$D$8,C40))</x:f>
        <x:v>1</x:v>
      </x:c>
      <x:c r="G40" s="26" t="n">
        <x:f>IF(A40="","",P39)</x:f>
        <x:v>0.4624629007068565</x:v>
      </x:c>
      <x:c r="H40" s="26" t="n">
        <x:f>IF(A40="","",Q39)</x:f>
        <x:v>0.49304674737709486</x:v>
      </x:c>
      <x:c r="I40" s="26" t="n">
        <x:f>IF(A40="","",R39)</x:f>
        <x:v>-0.5509766093039543</x:v>
      </x:c>
      <x:c r="J40" s="26" t="n">
        <x:f>IF(A40="","",G40*D40+H40*E40+I40)</x:f>
        <x:v>0.404533038779997</x:v>
      </x:c>
      <x:c r="K40" s="26" t="n">
        <x:f>IF(A40="","",F40-J40)</x:f>
        <x:v>0.595466961220003</x:v>
      </x:c>
      <x:c r="L40" s="26" t="n">
        <x:f>IF(A40="","",K40^2)</x:f>
        <x:v>0.3545809019045845</x:v>
      </x:c>
      <x:c r="M40" s="26" t="n">
        <x:f>IF(A40="","",Parametreler!$B$5*K40*D40)</x:f>
        <x:v>0.0595466961220003</x:v>
      </x:c>
      <x:c r="N40" s="26" t="n">
        <x:f>IF(A40="","",Parametreler!$B$5*K40*E40)</x:f>
        <x:v>0.0595466961220003</x:v>
      </x:c>
      <x:c r="O40" s="26" t="n">
        <x:f>IF(A40="","",Parametreler!$B$5*K40)</x:f>
        <x:v>0.0595466961220003</x:v>
      </x:c>
      <x:c r="P40" s="26" t="n">
        <x:f>IF(A40="","",G40+M40)</x:f>
        <x:v>0.5220095968288567</x:v>
      </x:c>
      <x:c r="Q40" s="26" t="n">
        <x:f>IF(A40="","",H40+N40)</x:f>
        <x:v>0.5525934434990951</x:v>
      </x:c>
      <x:c r="R40" s="26" t="n">
        <x:f>IF(A40="","",I40+O40)</x:f>
        <x:v>-0.491429913181954</x:v>
      </x:c>
    </x:row>
    <x:row r="41" ht="20" customHeight="1">
      <x:c r="A41" t="n">
        <x:f>IF(37&lt;=Parametreler!$B$9*Parametreler!$B$10,37,"")</x:f>
        <x:v>37</x:v>
      </x:c>
      <x:c r="B41" t="n">
        <x:f>IF(A41="","",INT((A41-1)/Parametreler!$B$10)+1)</x:f>
        <x:v>10</x:v>
      </x:c>
      <x:c r="C41" t="n">
        <x:f>IF(A41="","",MOD(A41-1,Parametreler!$B$10)+1)</x:f>
        <x:v>1</x:v>
      </x:c>
      <x:c r="D41" s="26" t="n">
        <x:f>IF(A41="","",INDEX('Veri Kumesi'!$B$5:$B$8,C41))</x:f>
        <x:v>-1</x:v>
      </x:c>
      <x:c r="E41" s="26" t="n">
        <x:f>IF(A41="","",INDEX('Veri Kumesi'!$C$5:$C$8,C41))</x:f>
        <x:v>-1</x:v>
      </x:c>
      <x:c r="F41" s="26" t="n">
        <x:f>IF(A41="","",INDEX('Veri Kumesi'!$D$5:$D$8,C41))</x:f>
        <x:v>-1</x:v>
      </x:c>
      <x:c r="G41" s="26" t="n">
        <x:f>IF(A41="","",P40)</x:f>
        <x:v>0.5220095968288567</x:v>
      </x:c>
      <x:c r="H41" s="26" t="n">
        <x:f>IF(A41="","",Q40)</x:f>
        <x:v>0.5525934434990951</x:v>
      </x:c>
      <x:c r="I41" s="26" t="n">
        <x:f>IF(A41="","",R40)</x:f>
        <x:v>-0.491429913181954</x:v>
      </x:c>
      <x:c r="J41" s="26" t="n">
        <x:f>IF(A41="","",G41*D41+H41*E41+I41)</x:f>
        <x:v>-1.5660329535099058</x:v>
      </x:c>
      <x:c r="K41" s="26" t="n">
        <x:f>IF(A41="","",F41-J41)</x:f>
        <x:v>0.5660329535099058</x:v>
      </x:c>
      <x:c r="L41" s="26" t="n">
        <x:f>IF(A41="","",K41^2)</x:f>
        <x:v>0.32039330445914715</x:v>
      </x:c>
      <x:c r="M41" s="26" t="n">
        <x:f>IF(A41="","",Parametreler!$B$5*K41*D41)</x:f>
        <x:v>-0.05660329535099058</x:v>
      </x:c>
      <x:c r="N41" s="26" t="n">
        <x:f>IF(A41="","",Parametreler!$B$5*K41*E41)</x:f>
        <x:v>-0.05660329535099058</x:v>
      </x:c>
      <x:c r="O41" s="26" t="n">
        <x:f>IF(A41="","",Parametreler!$B$5*K41)</x:f>
        <x:v>0.05660329535099058</x:v>
      </x:c>
      <x:c r="P41" s="26" t="n">
        <x:f>IF(A41="","",G41+M41)</x:f>
        <x:v>0.46540630147786616</x:v>
      </x:c>
      <x:c r="Q41" s="26" t="n">
        <x:f>IF(A41="","",H41+N41)</x:f>
        <x:v>0.49599014814810455</x:v>
      </x:c>
      <x:c r="R41" s="26" t="n">
        <x:f>IF(A41="","",I41+O41)</x:f>
        <x:v>-0.43482661783096344</x:v>
      </x:c>
    </x:row>
    <x:row r="42" ht="20" customHeight="1">
      <x:c r="A42" t="n">
        <x:f>IF(38&lt;=Parametreler!$B$9*Parametreler!$B$10,38,"")</x:f>
        <x:v>38</x:v>
      </x:c>
      <x:c r="B42" t="n">
        <x:f>IF(A42="","",INT((A42-1)/Parametreler!$B$10)+1)</x:f>
        <x:v>10</x:v>
      </x:c>
      <x:c r="C42" t="n">
        <x:f>IF(A42="","",MOD(A42-1,Parametreler!$B$10)+1)</x:f>
        <x:v>2</x:v>
      </x:c>
      <x:c r="D42" s="26" t="n">
        <x:f>IF(A42="","",INDEX('Veri Kumesi'!$B$5:$B$8,C42))</x:f>
        <x:v>-1</x:v>
      </x:c>
      <x:c r="E42" s="26" t="n">
        <x:f>IF(A42="","",INDEX('Veri Kumesi'!$C$5:$C$8,C42))</x:f>
        <x:v>1</x:v>
      </x:c>
      <x:c r="F42" s="26" t="n">
        <x:f>IF(A42="","",INDEX('Veri Kumesi'!$D$5:$D$8,C42))</x:f>
        <x:v>-1</x:v>
      </x:c>
      <x:c r="G42" s="26" t="n">
        <x:f>IF(A42="","",P41)</x:f>
        <x:v>0.46540630147786616</x:v>
      </x:c>
      <x:c r="H42" s="26" t="n">
        <x:f>IF(A42="","",Q41)</x:f>
        <x:v>0.49599014814810455</x:v>
      </x:c>
      <x:c r="I42" s="26" t="n">
        <x:f>IF(A42="","",R41)</x:f>
        <x:v>-0.43482661783096344</x:v>
      </x:c>
      <x:c r="J42" s="26" t="n">
        <x:f>IF(A42="","",G42*D42+H42*E42+I42)</x:f>
        <x:v>-0.40424277116072505</x:v>
      </x:c>
      <x:c r="K42" s="26" t="n">
        <x:f>IF(A42="","",F42-J42)</x:f>
        <x:v>-0.595757228839275</x:v>
      </x:c>
      <x:c r="L42" s="26" t="n">
        <x:f>IF(A42="","",K42^2)</x:f>
        <x:v>0.35492667571425224</x:v>
      </x:c>
      <x:c r="M42" s="26" t="n">
        <x:f>IF(A42="","",Parametreler!$B$5*K42*D42)</x:f>
        <x:v>0.0595757228839275</x:v>
      </x:c>
      <x:c r="N42" s="26" t="n">
        <x:f>IF(A42="","",Parametreler!$B$5*K42*E42)</x:f>
        <x:v>-0.0595757228839275</x:v>
      </x:c>
      <x:c r="O42" s="26" t="n">
        <x:f>IF(A42="","",Parametreler!$B$5*K42)</x:f>
        <x:v>-0.0595757228839275</x:v>
      </x:c>
      <x:c r="P42" s="26" t="n">
        <x:f>IF(A42="","",G42+M42)</x:f>
        <x:v>0.5249820243617936</x:v>
      </x:c>
      <x:c r="Q42" s="26" t="n">
        <x:f>IF(A42="","",H42+N42)</x:f>
        <x:v>0.43641442526417706</x:v>
      </x:c>
      <x:c r="R42" s="26" t="n">
        <x:f>IF(A42="","",I42+O42)</x:f>
        <x:v>-0.4944023407148909</x:v>
      </x:c>
    </x:row>
    <x:row r="43" ht="20" customHeight="1">
      <x:c r="A43" t="n">
        <x:f>IF(39&lt;=Parametreler!$B$9*Parametreler!$B$10,39,"")</x:f>
        <x:v>39</x:v>
      </x:c>
      <x:c r="B43" t="n">
        <x:f>IF(A43="","",INT((A43-1)/Parametreler!$B$10)+1)</x:f>
        <x:v>10</x:v>
      </x:c>
      <x:c r="C43" t="n">
        <x:f>IF(A43="","",MOD(A43-1,Parametreler!$B$10)+1)</x:f>
        <x:v>3</x:v>
      </x:c>
      <x:c r="D43" s="26" t="n">
        <x:f>IF(A43="","",INDEX('Veri Kumesi'!$B$5:$B$8,C43))</x:f>
        <x:v>1</x:v>
      </x:c>
      <x:c r="E43" s="26" t="n">
        <x:f>IF(A43="","",INDEX('Veri Kumesi'!$C$5:$C$8,C43))</x:f>
        <x:v>-1</x:v>
      </x:c>
      <x:c r="F43" s="26" t="n">
        <x:f>IF(A43="","",INDEX('Veri Kumesi'!$D$5:$D$8,C43))</x:f>
        <x:v>-1</x:v>
      </x:c>
      <x:c r="G43" s="26" t="n">
        <x:f>IF(A43="","",P42)</x:f>
        <x:v>0.5249820243617936</x:v>
      </x:c>
      <x:c r="H43" s="26" t="n">
        <x:f>IF(A43="","",Q42)</x:f>
        <x:v>0.43641442526417706</x:v>
      </x:c>
      <x:c r="I43" s="26" t="n">
        <x:f>IF(A43="","",R42)</x:f>
        <x:v>-0.4944023407148909</x:v>
      </x:c>
      <x:c r="J43" s="26" t="n">
        <x:f>IF(A43="","",G43*D43+H43*E43+I43)</x:f>
        <x:v>-0.40583474161727434</x:v>
      </x:c>
      <x:c r="K43" s="26" t="n">
        <x:f>IF(A43="","",F43-J43)</x:f>
        <x:v>-0.5941652583827257</x:v>
      </x:c>
      <x:c r="L43" s="26" t="n">
        <x:f>IF(A43="","",K43^2)</x:f>
        <x:v>0.3530323542690112</x:v>
      </x:c>
      <x:c r="M43" s="26" t="n">
        <x:f>IF(A43="","",Parametreler!$B$5*K43*D43)</x:f>
        <x:v>-0.059416525838272574</x:v>
      </x:c>
      <x:c r="N43" s="26" t="n">
        <x:f>IF(A43="","",Parametreler!$B$5*K43*E43)</x:f>
        <x:v>0.059416525838272574</x:v>
      </x:c>
      <x:c r="O43" s="26" t="n">
        <x:f>IF(A43="","",Parametreler!$B$5*K43)</x:f>
        <x:v>-0.059416525838272574</x:v>
      </x:c>
      <x:c r="P43" s="26" t="n">
        <x:f>IF(A43="","",G43+M43)</x:f>
        <x:v>0.4655654985235211</x:v>
      </x:c>
      <x:c r="Q43" s="26" t="n">
        <x:f>IF(A43="","",H43+N43)</x:f>
        <x:v>0.4958309511024496</x:v>
      </x:c>
      <x:c r="R43" s="26" t="n">
        <x:f>IF(A43="","",I43+O43)</x:f>
        <x:v>-0.5538188665531635</x:v>
      </x:c>
    </x:row>
    <x:row r="44" ht="20" customHeight="1">
      <x:c r="A44" t="n">
        <x:f>IF(40&lt;=Parametreler!$B$9*Parametreler!$B$10,40,"")</x:f>
        <x:v>40</x:v>
      </x:c>
      <x:c r="B44" t="n">
        <x:f>IF(A44="","",INT((A44-1)/Parametreler!$B$10)+1)</x:f>
        <x:v>10</x:v>
      </x:c>
      <x:c r="C44" t="n">
        <x:f>IF(A44="","",MOD(A44-1,Parametreler!$B$10)+1)</x:f>
        <x:v>4</x:v>
      </x:c>
      <x:c r="D44" s="26" t="n">
        <x:f>IF(A44="","",INDEX('Veri Kumesi'!$B$5:$B$8,C44))</x:f>
        <x:v>1</x:v>
      </x:c>
      <x:c r="E44" s="26" t="n">
        <x:f>IF(A44="","",INDEX('Veri Kumesi'!$C$5:$C$8,C44))</x:f>
        <x:v>1</x:v>
      </x:c>
      <x:c r="F44" s="26" t="n">
        <x:f>IF(A44="","",INDEX('Veri Kumesi'!$D$5:$D$8,C44))</x:f>
        <x:v>1</x:v>
      </x:c>
      <x:c r="G44" s="26" t="n">
        <x:f>IF(A44="","",P43)</x:f>
        <x:v>0.4655654985235211</x:v>
      </x:c>
      <x:c r="H44" s="26" t="n">
        <x:f>IF(A44="","",Q43)</x:f>
        <x:v>0.4958309511024496</x:v>
      </x:c>
      <x:c r="I44" s="26" t="n">
        <x:f>IF(A44="","",R43)</x:f>
        <x:v>-0.5538188665531635</x:v>
      </x:c>
      <x:c r="J44" s="26" t="n">
        <x:f>IF(A44="","",G44*D44+H44*E44+I44)</x:f>
        <x:v>0.4075775830728072</x:v>
      </x:c>
      <x:c r="K44" s="26" t="n">
        <x:f>IF(A44="","",F44-J44)</x:f>
        <x:v>0.5924224169271928</x:v>
      </x:c>
      <x:c r="L44" s="26" t="n">
        <x:f>IF(A44="","",K44^2)</x:f>
        <x:v>0.3509643200778566</x:v>
      </x:c>
      <x:c r="M44" s="26" t="n">
        <x:f>IF(A44="","",Parametreler!$B$5*K44*D44)</x:f>
        <x:v>0.05924224169271928</x:v>
      </x:c>
      <x:c r="N44" s="26" t="n">
        <x:f>IF(A44="","",Parametreler!$B$5*K44*E44)</x:f>
        <x:v>0.05924224169271928</x:v>
      </x:c>
      <x:c r="O44" s="26" t="n">
        <x:f>IF(A44="","",Parametreler!$B$5*K44)</x:f>
        <x:v>0.05924224169271928</x:v>
      </x:c>
      <x:c r="P44" s="26" t="n">
        <x:f>IF(A44="","",G44+M44)</x:f>
        <x:v>0.5248077402162403</x:v>
      </x:c>
      <x:c r="Q44" s="26" t="n">
        <x:f>IF(A44="","",H44+N44)</x:f>
        <x:v>0.5550731927951689</x:v>
      </x:c>
      <x:c r="R44" s="26" t="n">
        <x:f>IF(A44="","",I44+O44)</x:f>
        <x:v>-0.4945766248604442</x:v>
      </x:c>
    </x:row>
    <x:row r="45" ht="20" customHeight="1">
      <x:c r="A45" t="n">
        <x:f>IF(41&lt;=Parametreler!$B$9*Parametreler!$B$10,41,"")</x:f>
        <x:v>41</x:v>
      </x:c>
      <x:c r="B45" t="n">
        <x:f>IF(A45="","",INT((A45-1)/Parametreler!$B$10)+1)</x:f>
        <x:v>11</x:v>
      </x:c>
      <x:c r="C45" t="n">
        <x:f>IF(A45="","",MOD(A45-1,Parametreler!$B$10)+1)</x:f>
        <x:v>1</x:v>
      </x:c>
      <x:c r="D45" s="26" t="n">
        <x:f>IF(A45="","",INDEX('Veri Kumesi'!$B$5:$B$8,C45))</x:f>
        <x:v>-1</x:v>
      </x:c>
      <x:c r="E45" s="26" t="n">
        <x:f>IF(A45="","",INDEX('Veri Kumesi'!$C$5:$C$8,C45))</x:f>
        <x:v>-1</x:v>
      </x:c>
      <x:c r="F45" s="26" t="n">
        <x:f>IF(A45="","",INDEX('Veri Kumesi'!$D$5:$D$8,C45))</x:f>
        <x:v>-1</x:v>
      </x:c>
      <x:c r="G45" s="26" t="n">
        <x:f>IF(A45="","",P44)</x:f>
        <x:v>0.5248077402162403</x:v>
      </x:c>
      <x:c r="H45" s="26" t="n">
        <x:f>IF(A45="","",Q44)</x:f>
        <x:v>0.5550731927951689</x:v>
      </x:c>
      <x:c r="I45" s="26" t="n">
        <x:f>IF(A45="","",R44)</x:f>
        <x:v>-0.4945766248604442</x:v>
      </x:c>
      <x:c r="J45" s="26" t="n">
        <x:f>IF(A45="","",G45*D45+H45*E45+I45)</x:f>
        <x:v>-1.5744575578718534</x:v>
      </x:c>
      <x:c r="K45" s="26" t="n">
        <x:f>IF(A45="","",F45-J45)</x:f>
        <x:v>0.5744575578718534</x:v>
      </x:c>
      <x:c r="L45" s="26" t="n">
        <x:f>IF(A45="","",K45^2)</x:f>
        <x:v>0.3300014857960938</x:v>
      </x:c>
      <x:c r="M45" s="26" t="n">
        <x:f>IF(A45="","",Parametreler!$B$5*K45*D45)</x:f>
        <x:v>-0.05744575578718534</x:v>
      </x:c>
      <x:c r="N45" s="26" t="n">
        <x:f>IF(A45="","",Parametreler!$B$5*K45*E45)</x:f>
        <x:v>-0.05744575578718534</x:v>
      </x:c>
      <x:c r="O45" s="26" t="n">
        <x:f>IF(A45="","",Parametreler!$B$5*K45)</x:f>
        <x:v>0.05744575578718534</x:v>
      </x:c>
      <x:c r="P45" s="26" t="n">
        <x:f>IF(A45="","",G45+M45)</x:f>
        <x:v>0.46736198442905497</x:v>
      </x:c>
      <x:c r="Q45" s="26" t="n">
        <x:f>IF(A45="","",H45+N45)</x:f>
        <x:v>0.4976274370079835</x:v>
      </x:c>
      <x:c r="R45" s="26" t="n">
        <x:f>IF(A45="","",I45+O45)</x:f>
        <x:v>-0.4371308690732588</x:v>
      </x:c>
    </x:row>
    <x:row r="46" ht="20" customHeight="1">
      <x:c r="A46" t="n">
        <x:f>IF(42&lt;=Parametreler!$B$9*Parametreler!$B$10,42,"")</x:f>
        <x:v>42</x:v>
      </x:c>
      <x:c r="B46" t="n">
        <x:f>IF(A46="","",INT((A46-1)/Parametreler!$B$10)+1)</x:f>
        <x:v>11</x:v>
      </x:c>
      <x:c r="C46" t="n">
        <x:f>IF(A46="","",MOD(A46-1,Parametreler!$B$10)+1)</x:f>
        <x:v>2</x:v>
      </x:c>
      <x:c r="D46" s="26" t="n">
        <x:f>IF(A46="","",INDEX('Veri Kumesi'!$B$5:$B$8,C46))</x:f>
        <x:v>-1</x:v>
      </x:c>
      <x:c r="E46" s="26" t="n">
        <x:f>IF(A46="","",INDEX('Veri Kumesi'!$C$5:$C$8,C46))</x:f>
        <x:v>1</x:v>
      </x:c>
      <x:c r="F46" s="26" t="n">
        <x:f>IF(A46="","",INDEX('Veri Kumesi'!$D$5:$D$8,C46))</x:f>
        <x:v>-1</x:v>
      </x:c>
      <x:c r="G46" s="26" t="n">
        <x:f>IF(A46="","",P45)</x:f>
        <x:v>0.46736198442905497</x:v>
      </x:c>
      <x:c r="H46" s="26" t="n">
        <x:f>IF(A46="","",Q45)</x:f>
        <x:v>0.4976274370079835</x:v>
      </x:c>
      <x:c r="I46" s="26" t="n">
        <x:f>IF(A46="","",R45)</x:f>
        <x:v>-0.4371308690732588</x:v>
      </x:c>
      <x:c r="J46" s="26" t="n">
        <x:f>IF(A46="","",G46*D46+H46*E46+I46)</x:f>
        <x:v>-0.4068654164943303</x:v>
      </x:c>
      <x:c r="K46" s="26" t="n">
        <x:f>IF(A46="","",F46-J46)</x:f>
        <x:v>-0.5931345835056697</x:v>
      </x:c>
      <x:c r="L46" s="26" t="n">
        <x:f>IF(A46="","",K46^2)</x:f>
        <x:v>0.3518086341504443</x:v>
      </x:c>
      <x:c r="M46" s="26" t="n">
        <x:f>IF(A46="","",Parametreler!$B$5*K46*D46)</x:f>
        <x:v>0.05931345835056698</x:v>
      </x:c>
      <x:c r="N46" s="26" t="n">
        <x:f>IF(A46="","",Parametreler!$B$5*K46*E46)</x:f>
        <x:v>-0.05931345835056698</x:v>
      </x:c>
      <x:c r="O46" s="26" t="n">
        <x:f>IF(A46="","",Parametreler!$B$5*K46)</x:f>
        <x:v>-0.05931345835056698</x:v>
      </x:c>
      <x:c r="P46" s="26" t="n">
        <x:f>IF(A46="","",G46+M46)</x:f>
        <x:v>0.526675442779622</x:v>
      </x:c>
      <x:c r="Q46" s="26" t="n">
        <x:f>IF(A46="","",H46+N46)</x:f>
        <x:v>0.4383139786574165</x:v>
      </x:c>
      <x:c r="R46" s="26" t="n">
        <x:f>IF(A46="","",I46+O46)</x:f>
        <x:v>-0.4964443274238258</x:v>
      </x:c>
    </x:row>
    <x:row r="47" ht="20" customHeight="1">
      <x:c r="A47" t="n">
        <x:f>IF(43&lt;=Parametreler!$B$9*Parametreler!$B$10,43,"")</x:f>
        <x:v>43</x:v>
      </x:c>
      <x:c r="B47" t="n">
        <x:f>IF(A47="","",INT((A47-1)/Parametreler!$B$10)+1)</x:f>
        <x:v>11</x:v>
      </x:c>
      <x:c r="C47" t="n">
        <x:f>IF(A47="","",MOD(A47-1,Parametreler!$B$10)+1)</x:f>
        <x:v>3</x:v>
      </x:c>
      <x:c r="D47" s="26" t="n">
        <x:f>IF(A47="","",INDEX('Veri Kumesi'!$B$5:$B$8,C47))</x:f>
        <x:v>1</x:v>
      </x:c>
      <x:c r="E47" s="26" t="n">
        <x:f>IF(A47="","",INDEX('Veri Kumesi'!$C$5:$C$8,C47))</x:f>
        <x:v>-1</x:v>
      </x:c>
      <x:c r="F47" s="26" t="n">
        <x:f>IF(A47="","",INDEX('Veri Kumesi'!$D$5:$D$8,C47))</x:f>
        <x:v>-1</x:v>
      </x:c>
      <x:c r="G47" s="26" t="n">
        <x:f>IF(A47="","",P46)</x:f>
        <x:v>0.526675442779622</x:v>
      </x:c>
      <x:c r="H47" s="26" t="n">
        <x:f>IF(A47="","",Q46)</x:f>
        <x:v>0.4383139786574165</x:v>
      </x:c>
      <x:c r="I47" s="26" t="n">
        <x:f>IF(A47="","",R46)</x:f>
        <x:v>-0.4964443274238258</x:v>
      </x:c>
      <x:c r="J47" s="26" t="n">
        <x:f>IF(A47="","",G47*D47+H47*E47+I47)</x:f>
        <x:v>-0.40808286330162036</x:v>
      </x:c>
      <x:c r="K47" s="26" t="n">
        <x:f>IF(A47="","",F47-J47)</x:f>
        <x:v>-0.5919171366983796</x:v>
      </x:c>
      <x:c r="L47" s="26" t="n">
        <x:f>IF(A47="","",K47^2)</x:f>
        <x:v>0.35036589671720825</x:v>
      </x:c>
      <x:c r="M47" s="26" t="n">
        <x:f>IF(A47="","",Parametreler!$B$5*K47*D47)</x:f>
        <x:v>-0.05919171366983797</x:v>
      </x:c>
      <x:c r="N47" s="26" t="n">
        <x:f>IF(A47="","",Parametreler!$B$5*K47*E47)</x:f>
        <x:v>0.05919171366983797</x:v>
      </x:c>
      <x:c r="O47" s="26" t="n">
        <x:f>IF(A47="","",Parametreler!$B$5*K47)</x:f>
        <x:v>-0.05919171366983797</x:v>
      </x:c>
      <x:c r="P47" s="26" t="n">
        <x:f>IF(A47="","",G47+M47)</x:f>
        <x:v>0.467483729109784</x:v>
      </x:c>
      <x:c r="Q47" s="26" t="n">
        <x:f>IF(A47="","",H47+N47)</x:f>
        <x:v>0.4975056923272545</x:v>
      </x:c>
      <x:c r="R47" s="26" t="n">
        <x:f>IF(A47="","",I47+O47)</x:f>
        <x:v>-0.5556360410936638</x:v>
      </x:c>
    </x:row>
    <x:row r="48" ht="20" customHeight="1">
      <x:c r="A48" t="n">
        <x:f>IF(44&lt;=Parametreler!$B$9*Parametreler!$B$10,44,"")</x:f>
        <x:v>44</x:v>
      </x:c>
      <x:c r="B48" t="n">
        <x:f>IF(A48="","",INT((A48-1)/Parametreler!$B$10)+1)</x:f>
        <x:v>11</x:v>
      </x:c>
      <x:c r="C48" t="n">
        <x:f>IF(A48="","",MOD(A48-1,Parametreler!$B$10)+1)</x:f>
        <x:v>4</x:v>
      </x:c>
      <x:c r="D48" s="26" t="n">
        <x:f>IF(A48="","",INDEX('Veri Kumesi'!$B$5:$B$8,C48))</x:f>
        <x:v>1</x:v>
      </x:c>
      <x:c r="E48" s="26" t="n">
        <x:f>IF(A48="","",INDEX('Veri Kumesi'!$C$5:$C$8,C48))</x:f>
        <x:v>1</x:v>
      </x:c>
      <x:c r="F48" s="26" t="n">
        <x:f>IF(A48="","",INDEX('Veri Kumesi'!$D$5:$D$8,C48))</x:f>
        <x:v>1</x:v>
      </x:c>
      <x:c r="G48" s="26" t="n">
        <x:f>IF(A48="","",P47)</x:f>
        <x:v>0.467483729109784</x:v>
      </x:c>
      <x:c r="H48" s="26" t="n">
        <x:f>IF(A48="","",Q47)</x:f>
        <x:v>0.4975056923272545</x:v>
      </x:c>
      <x:c r="I48" s="26" t="n">
        <x:f>IF(A48="","",R47)</x:f>
        <x:v>-0.5556360410936638</x:v>
      </x:c>
      <x:c r="J48" s="26" t="n">
        <x:f>IF(A48="","",G48*D48+H48*E48+I48)</x:f>
        <x:v>0.40935338034337465</x:v>
      </x:c>
      <x:c r="K48" s="26" t="n">
        <x:f>IF(A48="","",F48-J48)</x:f>
        <x:v>0.5906466196566253</x:v>
      </x:c>
      <x:c r="L48" s="26" t="n">
        <x:f>IF(A48="","",K48^2)</x:f>
        <x:v>0.34886342931179826</x:v>
      </x:c>
      <x:c r="M48" s="26" t="n">
        <x:f>IF(A48="","",Parametreler!$B$5*K48*D48)</x:f>
        <x:v>0.05906466196566254</x:v>
      </x:c>
      <x:c r="N48" s="26" t="n">
        <x:f>IF(A48="","",Parametreler!$B$5*K48*E48)</x:f>
        <x:v>0.05906466196566254</x:v>
      </x:c>
      <x:c r="O48" s="26" t="n">
        <x:f>IF(A48="","",Parametreler!$B$5*K48)</x:f>
        <x:v>0.05906466196566254</x:v>
      </x:c>
      <x:c r="P48" s="26" t="n">
        <x:f>IF(A48="","",G48+M48)</x:f>
        <x:v>0.5265483910754465</x:v>
      </x:c>
      <x:c r="Q48" s="26" t="n">
        <x:f>IF(A48="","",H48+N48)</x:f>
        <x:v>0.556570354292917</x:v>
      </x:c>
      <x:c r="R48" s="26" t="n">
        <x:f>IF(A48="","",I48+O48)</x:f>
        <x:v>-0.4965713791280013</x:v>
      </x:c>
    </x:row>
    <x:row r="49" ht="20" customHeight="1">
      <x:c r="A49" t="n">
        <x:f>IF(45&lt;=Parametreler!$B$9*Parametreler!$B$10,45,"")</x:f>
        <x:v>45</x:v>
      </x:c>
      <x:c r="B49" t="n">
        <x:f>IF(A49="","",INT((A49-1)/Parametreler!$B$10)+1)</x:f>
        <x:v>12</x:v>
      </x:c>
      <x:c r="C49" t="n">
        <x:f>IF(A49="","",MOD(A49-1,Parametreler!$B$10)+1)</x:f>
        <x:v>1</x:v>
      </x:c>
      <x:c r="D49" s="26" t="n">
        <x:f>IF(A49="","",INDEX('Veri Kumesi'!$B$5:$B$8,C49))</x:f>
        <x:v>-1</x:v>
      </x:c>
      <x:c r="E49" s="26" t="n">
        <x:f>IF(A49="","",INDEX('Veri Kumesi'!$C$5:$C$8,C49))</x:f>
        <x:v>-1</x:v>
      </x:c>
      <x:c r="F49" s="26" t="n">
        <x:f>IF(A49="","",INDEX('Veri Kumesi'!$D$5:$D$8,C49))</x:f>
        <x:v>-1</x:v>
      </x:c>
      <x:c r="G49" s="26" t="n">
        <x:f>IF(A49="","",P48)</x:f>
        <x:v>0.5265483910754465</x:v>
      </x:c>
      <x:c r="H49" s="26" t="n">
        <x:f>IF(A49="","",Q48)</x:f>
        <x:v>0.556570354292917</x:v>
      </x:c>
      <x:c r="I49" s="26" t="n">
        <x:f>IF(A49="","",R48)</x:f>
        <x:v>-0.4965713791280013</x:v>
      </x:c>
      <x:c r="J49" s="26" t="n">
        <x:f>IF(A49="","",G49*D49+H49*E49+I49)</x:f>
        <x:v>-1.5796901244963648</x:v>
      </x:c>
      <x:c r="K49" s="26" t="n">
        <x:f>IF(A49="","",F49-J49)</x:f>
        <x:v>0.5796901244963648</x:v>
      </x:c>
      <x:c r="L49" s="26" t="n">
        <x:f>IF(A49="","",K49^2)</x:f>
        <x:v>0.3360406404386109</x:v>
      </x:c>
      <x:c r="M49" s="26" t="n">
        <x:f>IF(A49="","",Parametreler!$B$5*K49*D49)</x:f>
        <x:v>-0.05796901244963648</x:v>
      </x:c>
      <x:c r="N49" s="26" t="n">
        <x:f>IF(A49="","",Parametreler!$B$5*K49*E49)</x:f>
        <x:v>-0.05796901244963648</x:v>
      </x:c>
      <x:c r="O49" s="26" t="n">
        <x:f>IF(A49="","",Parametreler!$B$5*K49)</x:f>
        <x:v>0.05796901244963648</x:v>
      </x:c>
      <x:c r="P49" s="26" t="n">
        <x:f>IF(A49="","",G49+M49)</x:f>
        <x:v>0.46857937862581</x:v>
      </x:c>
      <x:c r="Q49" s="26" t="n">
        <x:f>IF(A49="","",H49+N49)</x:f>
        <x:v>0.49860134184328053</x:v>
      </x:c>
      <x:c r="R49" s="26" t="n">
        <x:f>IF(A49="","",I49+O49)</x:f>
        <x:v>-0.43860236667836483</x:v>
      </x:c>
    </x:row>
    <x:row r="50" ht="20" customHeight="1">
      <x:c r="A50" t="n">
        <x:f>IF(46&lt;=Parametreler!$B$9*Parametreler!$B$10,46,"")</x:f>
        <x:v>46</x:v>
      </x:c>
      <x:c r="B50" t="n">
        <x:f>IF(A50="","",INT((A50-1)/Parametreler!$B$10)+1)</x:f>
        <x:v>12</x:v>
      </x:c>
      <x:c r="C50" t="n">
        <x:f>IF(A50="","",MOD(A50-1,Parametreler!$B$10)+1)</x:f>
        <x:v>2</x:v>
      </x:c>
      <x:c r="D50" s="26" t="n">
        <x:f>IF(A50="","",INDEX('Veri Kumesi'!$B$5:$B$8,C50))</x:f>
        <x:v>-1</x:v>
      </x:c>
      <x:c r="E50" s="26" t="n">
        <x:f>IF(A50="","",INDEX('Veri Kumesi'!$C$5:$C$8,C50))</x:f>
        <x:v>1</x:v>
      </x:c>
      <x:c r="F50" s="26" t="n">
        <x:f>IF(A50="","",INDEX('Veri Kumesi'!$D$5:$D$8,C50))</x:f>
        <x:v>-1</x:v>
      </x:c>
      <x:c r="G50" s="26" t="n">
        <x:f>IF(A50="","",P49)</x:f>
        <x:v>0.46857937862581</x:v>
      </x:c>
      <x:c r="H50" s="26" t="n">
        <x:f>IF(A50="","",Q49)</x:f>
        <x:v>0.49860134184328053</x:v>
      </x:c>
      <x:c r="I50" s="26" t="n">
        <x:f>IF(A50="","",R49)</x:f>
        <x:v>-0.43860236667836483</x:v>
      </x:c>
      <x:c r="J50" s="26" t="n">
        <x:f>IF(A50="","",G50*D50+H50*E50+I50)</x:f>
        <x:v>-0.4085804034608943</x:v>
      </x:c>
      <x:c r="K50" s="26" t="n">
        <x:f>IF(A50="","",F50-J50)</x:f>
        <x:v>-0.5914195965391057</x:v>
      </x:c>
      <x:c r="L50" s="26" t="n">
        <x:f>IF(A50="","",K50^2)</x:f>
        <x:v>0.34977713917047853</x:v>
      </x:c>
      <x:c r="M50" s="26" t="n">
        <x:f>IF(A50="","",Parametreler!$B$5*K50*D50)</x:f>
        <x:v>0.05914195965391057</x:v>
      </x:c>
      <x:c r="N50" s="26" t="n">
        <x:f>IF(A50="","",Parametreler!$B$5*K50*E50)</x:f>
        <x:v>-0.05914195965391057</x:v>
      </x:c>
      <x:c r="O50" s="26" t="n">
        <x:f>IF(A50="","",Parametreler!$B$5*K50)</x:f>
        <x:v>-0.05914195965391057</x:v>
      </x:c>
      <x:c r="P50" s="26" t="n">
        <x:f>IF(A50="","",G50+M50)</x:f>
        <x:v>0.5277213382797206</x:v>
      </x:c>
      <x:c r="Q50" s="26" t="n">
        <x:f>IF(A50="","",H50+N50)</x:f>
        <x:v>0.43945938218937</x:v>
      </x:c>
      <x:c r="R50" s="26" t="n">
        <x:f>IF(A50="","",I50+O50)</x:f>
        <x:v>-0.4977443263322754</x:v>
      </x:c>
    </x:row>
    <x:row r="51" ht="20" customHeight="1">
      <x:c r="A51" t="n">
        <x:f>IF(47&lt;=Parametreler!$B$9*Parametreler!$B$10,47,"")</x:f>
        <x:v>47</x:v>
      </x:c>
      <x:c r="B51" t="n">
        <x:f>IF(A51="","",INT((A51-1)/Parametreler!$B$10)+1)</x:f>
        <x:v>12</x:v>
      </x:c>
      <x:c r="C51" t="n">
        <x:f>IF(A51="","",MOD(A51-1,Parametreler!$B$10)+1)</x:f>
        <x:v>3</x:v>
      </x:c>
      <x:c r="D51" s="26" t="n">
        <x:f>IF(A51="","",INDEX('Veri Kumesi'!$B$5:$B$8,C51))</x:f>
        <x:v>1</x:v>
      </x:c>
      <x:c r="E51" s="26" t="n">
        <x:f>IF(A51="","",INDEX('Veri Kumesi'!$C$5:$C$8,C51))</x:f>
        <x:v>-1</x:v>
      </x:c>
      <x:c r="F51" s="26" t="n">
        <x:f>IF(A51="","",INDEX('Veri Kumesi'!$D$5:$D$8,C51))</x:f>
        <x:v>-1</x:v>
      </x:c>
      <x:c r="G51" s="26" t="n">
        <x:f>IF(A51="","",P50)</x:f>
        <x:v>0.5277213382797206</x:v>
      </x:c>
      <x:c r="H51" s="26" t="n">
        <x:f>IF(A51="","",Q50)</x:f>
        <x:v>0.43945938218937</x:v>
      </x:c>
      <x:c r="I51" s="26" t="n">
        <x:f>IF(A51="","",R50)</x:f>
        <x:v>-0.4977443263322754</x:v>
      </x:c>
      <x:c r="J51" s="26" t="n">
        <x:f>IF(A51="","",G51*D51+H51*E51+I51)</x:f>
        <x:v>-0.4094823702419248</x:v>
      </x:c>
      <x:c r="K51" s="26" t="n">
        <x:f>IF(A51="","",F51-J51)</x:f>
        <x:v>-0.5905176297580752</x:v>
      </x:c>
      <x:c r="L51" s="26" t="n">
        <x:f>IF(A51="","",K51^2)</x:f>
        <x:v>0.3487110710550952</x:v>
      </x:c>
      <x:c r="M51" s="26" t="n">
        <x:f>IF(A51="","",Parametreler!$B$5*K51*D51)</x:f>
        <x:v>-0.059051762975807526</x:v>
      </x:c>
      <x:c r="N51" s="26" t="n">
        <x:f>IF(A51="","",Parametreler!$B$5*K51*E51)</x:f>
        <x:v>0.059051762975807526</x:v>
      </x:c>
      <x:c r="O51" s="26" t="n">
        <x:f>IF(A51="","",Parametreler!$B$5*K51)</x:f>
        <x:v>-0.059051762975807526</x:v>
      </x:c>
      <x:c r="P51" s="26" t="n">
        <x:f>IF(A51="","",G51+M51)</x:f>
        <x:v>0.46866957530391307</x:v>
      </x:c>
      <x:c r="Q51" s="26" t="n">
        <x:f>IF(A51="","",H51+N51)</x:f>
        <x:v>0.49851114516517747</x:v>
      </x:c>
      <x:c r="R51" s="26" t="n">
        <x:f>IF(A51="","",I51+O51)</x:f>
        <x:v>-0.5567960893080829</x:v>
      </x:c>
    </x:row>
    <x:row r="52" ht="20" customHeight="1">
      <x:c r="A52" t="n">
        <x:f>IF(48&lt;=Parametreler!$B$9*Parametreler!$B$10,48,"")</x:f>
        <x:v>48</x:v>
      </x:c>
      <x:c r="B52" t="n">
        <x:f>IF(A52="","",INT((A52-1)/Parametreler!$B$10)+1)</x:f>
        <x:v>12</x:v>
      </x:c>
      <x:c r="C52" t="n">
        <x:f>IF(A52="","",MOD(A52-1,Parametreler!$B$10)+1)</x:f>
        <x:v>4</x:v>
      </x:c>
      <x:c r="D52" s="26" t="n">
        <x:f>IF(A52="","",INDEX('Veri Kumesi'!$B$5:$B$8,C52))</x:f>
        <x:v>1</x:v>
      </x:c>
      <x:c r="E52" s="26" t="n">
        <x:f>IF(A52="","",INDEX('Veri Kumesi'!$C$5:$C$8,C52))</x:f>
        <x:v>1</x:v>
      </x:c>
      <x:c r="F52" s="26" t="n">
        <x:f>IF(A52="","",INDEX('Veri Kumesi'!$D$5:$D$8,C52))</x:f>
        <x:v>1</x:v>
      </x:c>
      <x:c r="G52" s="26" t="n">
        <x:f>IF(A52="","",P51)</x:f>
        <x:v>0.46866957530391307</x:v>
      </x:c>
      <x:c r="H52" s="26" t="n">
        <x:f>IF(A52="","",Q51)</x:f>
        <x:v>0.49851114516517747</x:v>
      </x:c>
      <x:c r="I52" s="26" t="n">
        <x:f>IF(A52="","",R51)</x:f>
        <x:v>-0.5567960893080829</x:v>
      </x:c>
      <x:c r="J52" s="26" t="n">
        <x:f>IF(A52="","",G52*D52+H52*E52+I52)</x:f>
        <x:v>0.41038463116100765</x:v>
      </x:c>
      <x:c r="K52" s="26" t="n">
        <x:f>IF(A52="","",F52-J52)</x:f>
        <x:v>0.5896153688389923</x:v>
      </x:c>
      <x:c r="L52" s="26" t="n">
        <x:f>IF(A52="","",K52^2)</x:f>
        <x:v>0.347646283171141</x:v>
      </x:c>
      <x:c r="M52" s="26" t="n">
        <x:f>IF(A52="","",Parametreler!$B$5*K52*D52)</x:f>
        <x:v>0.05896153688389924</x:v>
      </x:c>
      <x:c r="N52" s="26" t="n">
        <x:f>IF(A52="","",Parametreler!$B$5*K52*E52)</x:f>
        <x:v>0.05896153688389924</x:v>
      </x:c>
      <x:c r="O52" s="26" t="n">
        <x:f>IF(A52="","",Parametreler!$B$5*K52)</x:f>
        <x:v>0.05896153688389924</x:v>
      </x:c>
      <x:c r="P52" s="26" t="n">
        <x:f>IF(A52="","",G52+M52)</x:f>
        <x:v>0.5276311121878123</x:v>
      </x:c>
      <x:c r="Q52" s="26" t="n">
        <x:f>IF(A52="","",H52+N52)</x:f>
        <x:v>0.5574726820490767</x:v>
      </x:c>
      <x:c r="R52" s="26" t="n">
        <x:f>IF(A52="","",I52+O52)</x:f>
        <x:v>-0.4978345524241836</x:v>
      </x:c>
    </x:row>
    <x:row r="53" ht="20" customHeight="1">
      <x:c r="A53" t="n">
        <x:f>IF(49&lt;=Parametreler!$B$9*Parametreler!$B$10,49,"")</x:f>
        <x:v>49</x:v>
      </x:c>
      <x:c r="B53" t="n">
        <x:f>IF(A53="","",INT((A53-1)/Parametreler!$B$10)+1)</x:f>
        <x:v>13</x:v>
      </x:c>
      <x:c r="C53" t="n">
        <x:f>IF(A53="","",MOD(A53-1,Parametreler!$B$10)+1)</x:f>
        <x:v>1</x:v>
      </x:c>
      <x:c r="D53" s="26" t="n">
        <x:f>IF(A53="","",INDEX('Veri Kumesi'!$B$5:$B$8,C53))</x:f>
        <x:v>-1</x:v>
      </x:c>
      <x:c r="E53" s="26" t="n">
        <x:f>IF(A53="","",INDEX('Veri Kumesi'!$C$5:$C$8,C53))</x:f>
        <x:v>-1</x:v>
      </x:c>
      <x:c r="F53" s="26" t="n">
        <x:f>IF(A53="","",INDEX('Veri Kumesi'!$D$5:$D$8,C53))</x:f>
        <x:v>-1</x:v>
      </x:c>
      <x:c r="G53" s="26" t="n">
        <x:f>IF(A53="","",P52)</x:f>
        <x:v>0.5276311121878123</x:v>
      </x:c>
      <x:c r="H53" s="26" t="n">
        <x:f>IF(A53="","",Q52)</x:f>
        <x:v>0.5574726820490767</x:v>
      </x:c>
      <x:c r="I53" s="26" t="n">
        <x:f>IF(A53="","",R52)</x:f>
        <x:v>-0.4978345524241836</x:v>
      </x:c>
      <x:c r="J53" s="26" t="n">
        <x:f>IF(A53="","",G53*D53+H53*E53+I53)</x:f>
        <x:v>-1.5829383466610727</x:v>
      </x:c>
      <x:c r="K53" s="26" t="n">
        <x:f>IF(A53="","",F53-J53)</x:f>
        <x:v>0.5829383466610727</x:v>
      </x:c>
      <x:c r="L53" s="26" t="n">
        <x:f>IF(A53="","",K53^2)</x:f>
        <x:v>0.33981711600794495</x:v>
      </x:c>
      <x:c r="M53" s="26" t="n">
        <x:f>IF(A53="","",Parametreler!$B$5*K53*D53)</x:f>
        <x:v>-0.05829383466610727</x:v>
      </x:c>
      <x:c r="N53" s="26" t="n">
        <x:f>IF(A53="","",Parametreler!$B$5*K53*E53)</x:f>
        <x:v>-0.05829383466610727</x:v>
      </x:c>
      <x:c r="O53" s="26" t="n">
        <x:f>IF(A53="","",Parametreler!$B$5*K53)</x:f>
        <x:v>0.05829383466610727</x:v>
      </x:c>
      <x:c r="P53" s="26" t="n">
        <x:f>IF(A53="","",G53+M53)</x:f>
        <x:v>0.46933727752170507</x:v>
      </x:c>
      <x:c r="Q53" s="26" t="n">
        <x:f>IF(A53="","",H53+N53)</x:f>
        <x:v>0.49917884738296947</x:v>
      </x:c>
      <x:c r="R53" s="26" t="n">
        <x:f>IF(A53="","",I53+O53)</x:f>
        <x:v>-0.43954071775807635</x:v>
      </x:c>
    </x:row>
    <x:row r="54" ht="20" customHeight="1">
      <x:c r="A54" t="n">
        <x:f>IF(50&lt;=Parametreler!$B$9*Parametreler!$B$10,50,"")</x:f>
        <x:v>50</x:v>
      </x:c>
      <x:c r="B54" t="n">
        <x:f>IF(A54="","",INT((A54-1)/Parametreler!$B$10)+1)</x:f>
        <x:v>13</x:v>
      </x:c>
      <x:c r="C54" t="n">
        <x:f>IF(A54="","",MOD(A54-1,Parametreler!$B$10)+1)</x:f>
        <x:v>2</x:v>
      </x:c>
      <x:c r="D54" s="26" t="n">
        <x:f>IF(A54="","",INDEX('Veri Kumesi'!$B$5:$B$8,C54))</x:f>
        <x:v>-1</x:v>
      </x:c>
      <x:c r="E54" s="26" t="n">
        <x:f>IF(A54="","",INDEX('Veri Kumesi'!$C$5:$C$8,C54))</x:f>
        <x:v>1</x:v>
      </x:c>
      <x:c r="F54" s="26" t="n">
        <x:f>IF(A54="","",INDEX('Veri Kumesi'!$D$5:$D$8,C54))</x:f>
        <x:v>-1</x:v>
      </x:c>
      <x:c r="G54" s="26" t="n">
        <x:f>IF(A54="","",P53)</x:f>
        <x:v>0.46933727752170507</x:v>
      </x:c>
      <x:c r="H54" s="26" t="n">
        <x:f>IF(A54="","",Q53)</x:f>
        <x:v>0.49917884738296947</x:v>
      </x:c>
      <x:c r="I54" s="26" t="n">
        <x:f>IF(A54="","",R53)</x:f>
        <x:v>-0.43954071775807635</x:v>
      </x:c>
      <x:c r="J54" s="26" t="n">
        <x:f>IF(A54="","",G54*D54+H54*E54+I54)</x:f>
        <x:v>-0.40969914789681194</x:v>
      </x:c>
      <x:c r="K54" s="26" t="n">
        <x:f>IF(A54="","",F54-J54)</x:f>
        <x:v>-0.5903008521031881</x:v>
      </x:c>
      <x:c r="L54" s="26" t="n">
        <x:f>IF(A54="","",K54^2)</x:f>
        <x:v>0.3484550959937499</x:v>
      </x:c>
      <x:c r="M54" s="26" t="n">
        <x:f>IF(A54="","",Parametreler!$B$5*K54*D54)</x:f>
        <x:v>0.05903008521031881</x:v>
      </x:c>
      <x:c r="N54" s="26" t="n">
        <x:f>IF(A54="","",Parametreler!$B$5*K54*E54)</x:f>
        <x:v>-0.05903008521031881</x:v>
      </x:c>
      <x:c r="O54" s="26" t="n">
        <x:f>IF(A54="","",Parametreler!$B$5*K54)</x:f>
        <x:v>-0.05903008521031881</x:v>
      </x:c>
      <x:c r="P54" s="26" t="n">
        <x:f>IF(A54="","",G54+M54)</x:f>
        <x:v>0.5283673627320239</x:v>
      </x:c>
      <x:c r="Q54" s="26" t="n">
        <x:f>IF(A54="","",H54+N54)</x:f>
        <x:v>0.44014876217265064</x:v>
      </x:c>
      <x:c r="R54" s="26" t="n">
        <x:f>IF(A54="","",I54+O54)</x:f>
        <x:v>-0.4985708029683952</x:v>
      </x:c>
    </x:row>
    <x:row r="55" ht="20" customHeight="1">
      <x:c r="A55" t="n">
        <x:f>IF(51&lt;=Parametreler!$B$9*Parametreler!$B$10,51,"")</x:f>
        <x:v>51</x:v>
      </x:c>
      <x:c r="B55" t="n">
        <x:f>IF(A55="","",INT((A55-1)/Parametreler!$B$10)+1)</x:f>
        <x:v>13</x:v>
      </x:c>
      <x:c r="C55" t="n">
        <x:f>IF(A55="","",MOD(A55-1,Parametreler!$B$10)+1)</x:f>
        <x:v>3</x:v>
      </x:c>
      <x:c r="D55" s="26" t="n">
        <x:f>IF(A55="","",INDEX('Veri Kumesi'!$B$5:$B$8,C55))</x:f>
        <x:v>1</x:v>
      </x:c>
      <x:c r="E55" s="26" t="n">
        <x:f>IF(A55="","",INDEX('Veri Kumesi'!$C$5:$C$8,C55))</x:f>
        <x:v>-1</x:v>
      </x:c>
      <x:c r="F55" s="26" t="n">
        <x:f>IF(A55="","",INDEX('Veri Kumesi'!$D$5:$D$8,C55))</x:f>
        <x:v>-1</x:v>
      </x:c>
      <x:c r="G55" s="26" t="n">
        <x:f>IF(A55="","",P54)</x:f>
        <x:v>0.5283673627320239</x:v>
      </x:c>
      <x:c r="H55" s="26" t="n">
        <x:f>IF(A55="","",Q54)</x:f>
        <x:v>0.44014876217265064</x:v>
      </x:c>
      <x:c r="I55" s="26" t="n">
        <x:f>IF(A55="","",R54)</x:f>
        <x:v>-0.4985708029683952</x:v>
      </x:c>
      <x:c r="J55" s="26" t="n">
        <x:f>IF(A55="","",G55*D55+H55*E55+I55)</x:f>
        <x:v>-0.4103522024090219</x:v>
      </x:c>
      <x:c r="K55" s="26" t="n">
        <x:f>IF(A55="","",F55-J55)</x:f>
        <x:v>-0.5896477975909781</x:v>
      </x:c>
      <x:c r="L55" s="26" t="n">
        <x:f>IF(A55="","",K55^2)</x:f>
        <x:v>0.34768452520389104</x:v>
      </x:c>
      <x:c r="M55" s="26" t="n">
        <x:f>IF(A55="","",Parametreler!$B$5*K55*D55)</x:f>
        <x:v>-0.05896477975909781</x:v>
      </x:c>
      <x:c r="N55" s="26" t="n">
        <x:f>IF(A55="","",Parametreler!$B$5*K55*E55)</x:f>
        <x:v>0.05896477975909781</x:v>
      </x:c>
      <x:c r="O55" s="26" t="n">
        <x:f>IF(A55="","",Parametreler!$B$5*K55)</x:f>
        <x:v>-0.05896477975909781</x:v>
      </x:c>
      <x:c r="P55" s="26" t="n">
        <x:f>IF(A55="","",G55+M55)</x:f>
        <x:v>0.4694025829729261</x:v>
      </x:c>
      <x:c r="Q55" s="26" t="n">
        <x:f>IF(A55="","",H55+N55)</x:f>
        <x:v>0.49911354193174845</x:v>
      </x:c>
      <x:c r="R55" s="26" t="n">
        <x:f>IF(A55="","",I55+O55)</x:f>
        <x:v>-0.557535582727493</x:v>
      </x:c>
    </x:row>
    <x:row r="56" ht="20" customHeight="1">
      <x:c r="A56" t="n">
        <x:f>IF(52&lt;=Parametreler!$B$9*Parametreler!$B$10,52,"")</x:f>
        <x:v>52</x:v>
      </x:c>
      <x:c r="B56" t="n">
        <x:f>IF(A56="","",INT((A56-1)/Parametreler!$B$10)+1)</x:f>
        <x:v>13</x:v>
      </x:c>
      <x:c r="C56" t="n">
        <x:f>IF(A56="","",MOD(A56-1,Parametreler!$B$10)+1)</x:f>
        <x:v>4</x:v>
      </x:c>
      <x:c r="D56" s="26" t="n">
        <x:f>IF(A56="","",INDEX('Veri Kumesi'!$B$5:$B$8,C56))</x:f>
        <x:v>1</x:v>
      </x:c>
      <x:c r="E56" s="26" t="n">
        <x:f>IF(A56="","",INDEX('Veri Kumesi'!$C$5:$C$8,C56))</x:f>
        <x:v>1</x:v>
      </x:c>
      <x:c r="F56" s="26" t="n">
        <x:f>IF(A56="","",INDEX('Veri Kumesi'!$D$5:$D$8,C56))</x:f>
        <x:v>1</x:v>
      </x:c>
      <x:c r="G56" s="26" t="n">
        <x:f>IF(A56="","",P55)</x:f>
        <x:v>0.4694025829729261</x:v>
      </x:c>
      <x:c r="H56" s="26" t="n">
        <x:f>IF(A56="","",Q55)</x:f>
        <x:v>0.49911354193174845</x:v>
      </x:c>
      <x:c r="I56" s="26" t="n">
        <x:f>IF(A56="","",R55)</x:f>
        <x:v>-0.557535582727493</x:v>
      </x:c>
      <x:c r="J56" s="26" t="n">
        <x:f>IF(A56="","",G56*D56+H56*E56+I56)</x:f>
        <x:v>0.4109805421771815</x:v>
      </x:c>
      <x:c r="K56" s="26" t="n">
        <x:f>IF(A56="","",F56-J56)</x:f>
        <x:v>0.5890194578228185</x:v>
      </x:c>
      <x:c r="L56" s="26" t="n">
        <x:f>IF(A56="","",K56^2)</x:f>
        <x:v>0.34694392169388705</x:v>
      </x:c>
      <x:c r="M56" s="26" t="n">
        <x:f>IF(A56="","",Parametreler!$B$5*K56*D56)</x:f>
        <x:v>0.058901945782281855</x:v>
      </x:c>
      <x:c r="N56" s="26" t="n">
        <x:f>IF(A56="","",Parametreler!$B$5*K56*E56)</x:f>
        <x:v>0.058901945782281855</x:v>
      </x:c>
      <x:c r="O56" s="26" t="n">
        <x:f>IF(A56="","",Parametreler!$B$5*K56)</x:f>
        <x:v>0.058901945782281855</x:v>
      </x:c>
      <x:c r="P56" s="26" t="n">
        <x:f>IF(A56="","",G56+M56)</x:f>
        <x:v>0.528304528755208</x:v>
      </x:c>
      <x:c r="Q56" s="26" t="n">
        <x:f>IF(A56="","",H56+N56)</x:f>
        <x:v>0.5580154877140303</x:v>
      </x:c>
      <x:c r="R56" s="26" t="n">
        <x:f>IF(A56="","",I56+O56)</x:f>
        <x:v>-0.4986336369452112</x:v>
      </x:c>
    </x:row>
    <x:row r="57" ht="20" customHeight="1">
      <x:c r="A57" t="n">
        <x:f>IF(53&lt;=Parametreler!$B$9*Parametreler!$B$10,53,"")</x:f>
        <x:v>53</x:v>
      </x:c>
      <x:c r="B57" t="n">
        <x:f>IF(A57="","",INT((A57-1)/Parametreler!$B$10)+1)</x:f>
        <x:v>14</x:v>
      </x:c>
      <x:c r="C57" t="n">
        <x:f>IF(A57="","",MOD(A57-1,Parametreler!$B$10)+1)</x:f>
        <x:v>1</x:v>
      </x:c>
      <x:c r="D57" s="26" t="n">
        <x:f>IF(A57="","",INDEX('Veri Kumesi'!$B$5:$B$8,C57))</x:f>
        <x:v>-1</x:v>
      </x:c>
      <x:c r="E57" s="26" t="n">
        <x:f>IF(A57="","",INDEX('Veri Kumesi'!$C$5:$C$8,C57))</x:f>
        <x:v>-1</x:v>
      </x:c>
      <x:c r="F57" s="26" t="n">
        <x:f>IF(A57="","",INDEX('Veri Kumesi'!$D$5:$D$8,C57))</x:f>
        <x:v>-1</x:v>
      </x:c>
      <x:c r="G57" s="26" t="n">
        <x:f>IF(A57="","",P56)</x:f>
        <x:v>0.528304528755208</x:v>
      </x:c>
      <x:c r="H57" s="26" t="n">
        <x:f>IF(A57="","",Q56)</x:f>
        <x:v>0.5580154877140303</x:v>
      </x:c>
      <x:c r="I57" s="26" t="n">
        <x:f>IF(A57="","",R56)</x:f>
        <x:v>-0.4986336369452112</x:v>
      </x:c>
      <x:c r="J57" s="26" t="n">
        <x:f>IF(A57="","",G57*D57+H57*E57+I57)</x:f>
        <x:v>-1.5849536534144493</x:v>
      </x:c>
      <x:c r="K57" s="26" t="n">
        <x:f>IF(A57="","",F57-J57)</x:f>
        <x:v>0.5849536534144493</x:v>
      </x:c>
      <x:c r="L57" s="26" t="n">
        <x:f>IF(A57="","",K57^2)</x:f>
        <x:v>0.3421707766429116</x:v>
      </x:c>
      <x:c r="M57" s="26" t="n">
        <x:f>IF(A57="","",Parametreler!$B$5*K57*D57)</x:f>
        <x:v>-0.05849536534144493</x:v>
      </x:c>
      <x:c r="N57" s="26" t="n">
        <x:f>IF(A57="","",Parametreler!$B$5*K57*E57)</x:f>
        <x:v>-0.05849536534144493</x:v>
      </x:c>
      <x:c r="O57" s="26" t="n">
        <x:f>IF(A57="","",Parametreler!$B$5*K57)</x:f>
        <x:v>0.05849536534144493</x:v>
      </x:c>
      <x:c r="P57" s="26" t="n">
        <x:f>IF(A57="","",G57+M57)</x:f>
        <x:v>0.469809163413763</x:v>
      </x:c>
      <x:c r="Q57" s="26" t="n">
        <x:f>IF(A57="","",H57+N57)</x:f>
        <x:v>0.49952012237258536</x:v>
      </x:c>
      <x:c r="R57" s="26" t="n">
        <x:f>IF(A57="","",I57+O57)</x:f>
        <x:v>-0.44013827160376623</x:v>
      </x:c>
    </x:row>
    <x:row r="58" ht="20" customHeight="1">
      <x:c r="A58" t="n">
        <x:f>IF(54&lt;=Parametreler!$B$9*Parametreler!$B$10,54,"")</x:f>
        <x:v>54</x:v>
      </x:c>
      <x:c r="B58" t="n">
        <x:f>IF(A58="","",INT((A58-1)/Parametreler!$B$10)+1)</x:f>
        <x:v>14</x:v>
      </x:c>
      <x:c r="C58" t="n">
        <x:f>IF(A58="","",MOD(A58-1,Parametreler!$B$10)+1)</x:f>
        <x:v>2</x:v>
      </x:c>
      <x:c r="D58" s="26" t="n">
        <x:f>IF(A58="","",INDEX('Veri Kumesi'!$B$5:$B$8,C58))</x:f>
        <x:v>-1</x:v>
      </x:c>
      <x:c r="E58" s="26" t="n">
        <x:f>IF(A58="","",INDEX('Veri Kumesi'!$C$5:$C$8,C58))</x:f>
        <x:v>1</x:v>
      </x:c>
      <x:c r="F58" s="26" t="n">
        <x:f>IF(A58="","",INDEX('Veri Kumesi'!$D$5:$D$8,C58))</x:f>
        <x:v>-1</x:v>
      </x:c>
      <x:c r="G58" s="26" t="n">
        <x:f>IF(A58="","",P57)</x:f>
        <x:v>0.469809163413763</x:v>
      </x:c>
      <x:c r="H58" s="26" t="n">
        <x:f>IF(A58="","",Q57)</x:f>
        <x:v>0.49952012237258536</x:v>
      </x:c>
      <x:c r="I58" s="26" t="n">
        <x:f>IF(A58="","",R57)</x:f>
        <x:v>-0.44013827160376623</x:v>
      </x:c>
      <x:c r="J58" s="26" t="n">
        <x:f>IF(A58="","",G58*D58+H58*E58+I58)</x:f>
        <x:v>-0.41042731264494386</x:v>
      </x:c>
      <x:c r="K58" s="26" t="n">
        <x:f>IF(A58="","",F58-J58)</x:f>
        <x:v>-0.5895726873550562</x:v>
      </x:c>
      <x:c r="L58" s="26" t="n">
        <x:f>IF(A58="","",K58^2)</x:f>
        <x:v>0.34759595367506285</x:v>
      </x:c>
      <x:c r="M58" s="26" t="n">
        <x:f>IF(A58="","",Parametreler!$B$5*K58*D58)</x:f>
        <x:v>0.05895726873550562</x:v>
      </x:c>
      <x:c r="N58" s="26" t="n">
        <x:f>IF(A58="","",Parametreler!$B$5*K58*E58)</x:f>
        <x:v>-0.05895726873550562</x:v>
      </x:c>
      <x:c r="O58" s="26" t="n">
        <x:f>IF(A58="","",Parametreler!$B$5*K58)</x:f>
        <x:v>-0.05895726873550562</x:v>
      </x:c>
      <x:c r="P58" s="26" t="n">
        <x:f>IF(A58="","",G58+M58)</x:f>
        <x:v>0.5287664321492687</x:v>
      </x:c>
      <x:c r="Q58" s="26" t="n">
        <x:f>IF(A58="","",H58+N58)</x:f>
        <x:v>0.44056285363707975</x:v>
      </x:c>
      <x:c r="R58" s="26" t="n">
        <x:f>IF(A58="","",I58+O58)</x:f>
        <x:v>-0.49909554033927184</x:v>
      </x:c>
    </x:row>
    <x:row r="59" ht="20" customHeight="1">
      <x:c r="A59" t="n">
        <x:f>IF(55&lt;=Parametreler!$B$9*Parametreler!$B$10,55,"")</x:f>
        <x:v>55</x:v>
      </x:c>
      <x:c r="B59" t="n">
        <x:f>IF(A59="","",INT((A59-1)/Parametreler!$B$10)+1)</x:f>
        <x:v>14</x:v>
      </x:c>
      <x:c r="C59" t="n">
        <x:f>IF(A59="","",MOD(A59-1,Parametreler!$B$10)+1)</x:f>
        <x:v>3</x:v>
      </x:c>
      <x:c r="D59" s="26" t="n">
        <x:f>IF(A59="","",INDEX('Veri Kumesi'!$B$5:$B$8,C59))</x:f>
        <x:v>1</x:v>
      </x:c>
      <x:c r="E59" s="26" t="n">
        <x:f>IF(A59="","",INDEX('Veri Kumesi'!$C$5:$C$8,C59))</x:f>
        <x:v>-1</x:v>
      </x:c>
      <x:c r="F59" s="26" t="n">
        <x:f>IF(A59="","",INDEX('Veri Kumesi'!$D$5:$D$8,C59))</x:f>
        <x:v>-1</x:v>
      </x:c>
      <x:c r="G59" s="26" t="n">
        <x:f>IF(A59="","",P58)</x:f>
        <x:v>0.5287664321492687</x:v>
      </x:c>
      <x:c r="H59" s="26" t="n">
        <x:f>IF(A59="","",Q58)</x:f>
        <x:v>0.44056285363707975</x:v>
      </x:c>
      <x:c r="I59" s="26" t="n">
        <x:f>IF(A59="","",R58)</x:f>
        <x:v>-0.49909554033927184</x:v>
      </x:c>
      <x:c r="J59" s="26" t="n">
        <x:f>IF(A59="","",G59*D59+H59*E59+I59)</x:f>
        <x:v>-0.41089196182708293</x:v>
      </x:c>
      <x:c r="K59" s="26" t="n">
        <x:f>IF(A59="","",F59-J59)</x:f>
        <x:v>-0.589108038172917</x:v>
      </x:c>
      <x:c r="L59" s="26" t="n">
        <x:f>IF(A59="","",K59^2)</x:f>
        <x:v>0.34704828063994303</x:v>
      </x:c>
      <x:c r="M59" s="26" t="n">
        <x:f>IF(A59="","",Parametreler!$B$5*K59*D59)</x:f>
        <x:v>-0.058910803817291704</x:v>
      </x:c>
      <x:c r="N59" s="26" t="n">
        <x:f>IF(A59="","",Parametreler!$B$5*K59*E59)</x:f>
        <x:v>0.058910803817291704</x:v>
      </x:c>
      <x:c r="O59" s="26" t="n">
        <x:f>IF(A59="","",Parametreler!$B$5*K59)</x:f>
        <x:v>-0.058910803817291704</x:v>
      </x:c>
      <x:c r="P59" s="26" t="n">
        <x:f>IF(A59="","",G59+M59)</x:f>
        <x:v>0.46985562833197697</x:v>
      </x:c>
      <x:c r="Q59" s="26" t="n">
        <x:f>IF(A59="","",H59+N59)</x:f>
        <x:v>0.49947365745437144</x:v>
      </x:c>
      <x:c r="R59" s="26" t="n">
        <x:f>IF(A59="","",I59+O59)</x:f>
        <x:v>-0.5580063441565636</x:v>
      </x:c>
    </x:row>
    <x:row r="60" ht="20" customHeight="1">
      <x:c r="A60" t="n">
        <x:f>IF(56&lt;=Parametreler!$B$9*Parametreler!$B$10,56,"")</x:f>
        <x:v>56</x:v>
      </x:c>
      <x:c r="B60" t="n">
        <x:f>IF(A60="","",INT((A60-1)/Parametreler!$B$10)+1)</x:f>
        <x:v>14</x:v>
      </x:c>
      <x:c r="C60" t="n">
        <x:f>IF(A60="","",MOD(A60-1,Parametreler!$B$10)+1)</x:f>
        <x:v>4</x:v>
      </x:c>
      <x:c r="D60" s="26" t="n">
        <x:f>IF(A60="","",INDEX('Veri Kumesi'!$B$5:$B$8,C60))</x:f>
        <x:v>1</x:v>
      </x:c>
      <x:c r="E60" s="26" t="n">
        <x:f>IF(A60="","",INDEX('Veri Kumesi'!$C$5:$C$8,C60))</x:f>
        <x:v>1</x:v>
      </x:c>
      <x:c r="F60" s="26" t="n">
        <x:f>IF(A60="","",INDEX('Veri Kumesi'!$D$5:$D$8,C60))</x:f>
        <x:v>1</x:v>
      </x:c>
      <x:c r="G60" s="26" t="n">
        <x:f>IF(A60="","",P59)</x:f>
        <x:v>0.46985562833197697</x:v>
      </x:c>
      <x:c r="H60" s="26" t="n">
        <x:f>IF(A60="","",Q59)</x:f>
        <x:v>0.49947365745437144</x:v>
      </x:c>
      <x:c r="I60" s="26" t="n">
        <x:f>IF(A60="","",R59)</x:f>
        <x:v>-0.5580063441565636</x:v>
      </x:c>
      <x:c r="J60" s="26" t="n">
        <x:f>IF(A60="","",G60*D60+H60*E60+I60)</x:f>
        <x:v>0.4113229416297849</x:v>
      </x:c>
      <x:c r="K60" s="26" t="n">
        <x:f>IF(A60="","",F60-J60)</x:f>
        <x:v>0.5886770583702151</x:v>
      </x:c>
      <x:c r="L60" s="26" t="n">
        <x:f>IF(A60="","",K60^2)</x:f>
        <x:v>0.3465406790514097</x:v>
      </x:c>
      <x:c r="M60" s="26" t="n">
        <x:f>IF(A60="","",Parametreler!$B$5*K60*D60)</x:f>
        <x:v>0.058867705837021514</x:v>
      </x:c>
      <x:c r="N60" s="26" t="n">
        <x:f>IF(A60="","",Parametreler!$B$5*K60*E60)</x:f>
        <x:v>0.058867705837021514</x:v>
      </x:c>
      <x:c r="O60" s="26" t="n">
        <x:f>IF(A60="","",Parametreler!$B$5*K60)</x:f>
        <x:v>0.058867705837021514</x:v>
      </x:c>
      <x:c r="P60" s="26" t="n">
        <x:f>IF(A60="","",G60+M60)</x:f>
        <x:v>0.5287233341689985</x:v>
      </x:c>
      <x:c r="Q60" s="26" t="n">
        <x:f>IF(A60="","",H60+N60)</x:f>
        <x:v>0.558341363291393</x:v>
      </x:c>
      <x:c r="R60" s="26" t="n">
        <x:f>IF(A60="","",I60+O60)</x:f>
        <x:v>-0.4991386383195421</x:v>
      </x:c>
    </x:row>
    <x:row r="61" ht="20" customHeight="1">
      <x:c r="A61" t="n">
        <x:f>IF(57&lt;=Parametreler!$B$9*Parametreler!$B$10,57,"")</x:f>
        <x:v>57</x:v>
      </x:c>
      <x:c r="B61" t="n">
        <x:f>IF(A61="","",INT((A61-1)/Parametreler!$B$10)+1)</x:f>
        <x:v>15</x:v>
      </x:c>
      <x:c r="C61" t="n">
        <x:f>IF(A61="","",MOD(A61-1,Parametreler!$B$10)+1)</x:f>
        <x:v>1</x:v>
      </x:c>
      <x:c r="D61" s="26" t="n">
        <x:f>IF(A61="","",INDEX('Veri Kumesi'!$B$5:$B$8,C61))</x:f>
        <x:v>-1</x:v>
      </x:c>
      <x:c r="E61" s="26" t="n">
        <x:f>IF(A61="","",INDEX('Veri Kumesi'!$C$5:$C$8,C61))</x:f>
        <x:v>-1</x:v>
      </x:c>
      <x:c r="F61" s="26" t="n">
        <x:f>IF(A61="","",INDEX('Veri Kumesi'!$D$5:$D$8,C61))</x:f>
        <x:v>-1</x:v>
      </x:c>
      <x:c r="G61" s="26" t="n">
        <x:f>IF(A61="","",P60)</x:f>
        <x:v>0.5287233341689985</x:v>
      </x:c>
      <x:c r="H61" s="26" t="n">
        <x:f>IF(A61="","",Q60)</x:f>
        <x:v>0.558341363291393</x:v>
      </x:c>
      <x:c r="I61" s="26" t="n">
        <x:f>IF(A61="","",R60)</x:f>
        <x:v>-0.4991386383195421</x:v>
      </x:c>
      <x:c r="J61" s="26" t="n">
        <x:f>IF(A61="","",G61*D61+H61*E61+I61)</x:f>
        <x:v>-1.5862033357799334</x:v>
      </x:c>
      <x:c r="K61" s="26" t="n">
        <x:f>IF(A61="","",F61-J61)</x:f>
        <x:v>0.5862033357799334</x:v>
      </x:c>
      <x:c r="L61" s="26" t="n">
        <x:f>IF(A61="","",K61^2)</x:f>
        <x:v>0.3436343508795214</x:v>
      </x:c>
      <x:c r="M61" s="26" t="n">
        <x:f>IF(A61="","",Parametreler!$B$5*K61*D61)</x:f>
        <x:v>-0.058620333577993344</x:v>
      </x:c>
      <x:c r="N61" s="26" t="n">
        <x:f>IF(A61="","",Parametreler!$B$5*K61*E61)</x:f>
        <x:v>-0.058620333577993344</x:v>
      </x:c>
      <x:c r="O61" s="26" t="n">
        <x:f>IF(A61="","",Parametreler!$B$5*K61)</x:f>
        <x:v>0.058620333577993344</x:v>
      </x:c>
      <x:c r="P61" s="26" t="n">
        <x:f>IF(A61="","",G61+M61)</x:f>
        <x:v>0.4701030005910052</x:v>
      </x:c>
      <x:c r="Q61" s="26" t="n">
        <x:f>IF(A61="","",H61+N61)</x:f>
        <x:v>0.4997210297133996</x:v>
      </x:c>
      <x:c r="R61" s="26" t="n">
        <x:f>IF(A61="","",I61+O61)</x:f>
        <x:v>-0.44051830474154874</x:v>
      </x:c>
    </x:row>
    <x:row r="62" ht="20" customHeight="1">
      <x:c r="A62" t="n">
        <x:f>IF(58&lt;=Parametreler!$B$9*Parametreler!$B$10,58,"")</x:f>
        <x:v>58</x:v>
      </x:c>
      <x:c r="B62" t="n">
        <x:f>IF(A62="","",INT((A62-1)/Parametreler!$B$10)+1)</x:f>
        <x:v>15</x:v>
      </x:c>
      <x:c r="C62" t="n">
        <x:f>IF(A62="","",MOD(A62-1,Parametreler!$B$10)+1)</x:f>
        <x:v>2</x:v>
      </x:c>
      <x:c r="D62" s="26" t="n">
        <x:f>IF(A62="","",INDEX('Veri Kumesi'!$B$5:$B$8,C62))</x:f>
        <x:v>-1</x:v>
      </x:c>
      <x:c r="E62" s="26" t="n">
        <x:f>IF(A62="","",INDEX('Veri Kumesi'!$C$5:$C$8,C62))</x:f>
        <x:v>1</x:v>
      </x:c>
      <x:c r="F62" s="26" t="n">
        <x:f>IF(A62="","",INDEX('Veri Kumesi'!$D$5:$D$8,C62))</x:f>
        <x:v>-1</x:v>
      </x:c>
      <x:c r="G62" s="26" t="n">
        <x:f>IF(A62="","",P61)</x:f>
        <x:v>0.4701030005910052</x:v>
      </x:c>
      <x:c r="H62" s="26" t="n">
        <x:f>IF(A62="","",Q61)</x:f>
        <x:v>0.4997210297133996</x:v>
      </x:c>
      <x:c r="I62" s="26" t="n">
        <x:f>IF(A62="","",R61)</x:f>
        <x:v>-0.44051830474154874</x:v>
      </x:c>
      <x:c r="J62" s="26" t="n">
        <x:f>IF(A62="","",G62*D62+H62*E62+I62)</x:f>
        <x:v>-0.4109002756191543</x:v>
      </x:c>
      <x:c r="K62" s="26" t="n">
        <x:f>IF(A62="","",F62-J62)</x:f>
        <x:v>-0.5890997243808457</x:v>
      </x:c>
      <x:c r="L62" s="26" t="n">
        <x:f>IF(A62="","",K62^2)</x:f>
        <x:v>0.34703848526558834</x:v>
      </x:c>
      <x:c r="M62" s="26" t="n">
        <x:f>IF(A62="","",Parametreler!$B$5*K62*D62)</x:f>
        <x:v>0.058909972438084574</x:v>
      </x:c>
      <x:c r="N62" s="26" t="n">
        <x:f>IF(A62="","",Parametreler!$B$5*K62*E62)</x:f>
        <x:v>-0.058909972438084574</x:v>
      </x:c>
      <x:c r="O62" s="26" t="n">
        <x:f>IF(A62="","",Parametreler!$B$5*K62)</x:f>
        <x:v>-0.058909972438084574</x:v>
      </x:c>
      <x:c r="P62" s="26" t="n">
        <x:f>IF(A62="","",G62+M62)</x:f>
        <x:v>0.5290129730290898</x:v>
      </x:c>
      <x:c r="Q62" s="26" t="n">
        <x:f>IF(A62="","",H62+N62)</x:f>
        <x:v>0.440811057275315</x:v>
      </x:c>
      <x:c r="R62" s="26" t="n">
        <x:f>IF(A62="","",I62+O62)</x:f>
        <x:v>-0.49942827717963334</x:v>
      </x:c>
    </x:row>
    <x:row r="63" ht="20" customHeight="1">
      <x:c r="A63" t="n">
        <x:f>IF(59&lt;=Parametreler!$B$9*Parametreler!$B$10,59,"")</x:f>
        <x:v>59</x:v>
      </x:c>
      <x:c r="B63" t="n">
        <x:f>IF(A63="","",INT((A63-1)/Parametreler!$B$10)+1)</x:f>
        <x:v>15</x:v>
      </x:c>
      <x:c r="C63" t="n">
        <x:f>IF(A63="","",MOD(A63-1,Parametreler!$B$10)+1)</x:f>
        <x:v>3</x:v>
      </x:c>
      <x:c r="D63" s="26" t="n">
        <x:f>IF(A63="","",INDEX('Veri Kumesi'!$B$5:$B$8,C63))</x:f>
        <x:v>1</x:v>
      </x:c>
      <x:c r="E63" s="26" t="n">
        <x:f>IF(A63="","",INDEX('Veri Kumesi'!$C$5:$C$8,C63))</x:f>
        <x:v>-1</x:v>
      </x:c>
      <x:c r="F63" s="26" t="n">
        <x:f>IF(A63="","",INDEX('Veri Kumesi'!$D$5:$D$8,C63))</x:f>
        <x:v>-1</x:v>
      </x:c>
      <x:c r="G63" s="26" t="n">
        <x:f>IF(A63="","",P62)</x:f>
        <x:v>0.5290129730290898</x:v>
      </x:c>
      <x:c r="H63" s="26" t="n">
        <x:f>IF(A63="","",Q62)</x:f>
        <x:v>0.440811057275315</x:v>
      </x:c>
      <x:c r="I63" s="26" t="n">
        <x:f>IF(A63="","",R62)</x:f>
        <x:v>-0.49942827717963334</x:v>
      </x:c>
      <x:c r="J63" s="26" t="n">
        <x:f>IF(A63="","",G63*D63+H63*E63+I63)</x:f>
        <x:v>-0.41122636142585856</x:v>
      </x:c>
      <x:c r="K63" s="26" t="n">
        <x:f>IF(A63="","",F63-J63)</x:f>
        <x:v>-0.5887736385741414</x:v>
      </x:c>
      <x:c r="L63" s="26" t="n">
        <x:f>IF(A63="","",K63^2)</x:f>
        <x:v>0.34665439747983373</x:v>
      </x:c>
      <x:c r="M63" s="26" t="n">
        <x:f>IF(A63="","",Parametreler!$B$5*K63*D63)</x:f>
        <x:v>-0.05887736385741415</x:v>
      </x:c>
      <x:c r="N63" s="26" t="n">
        <x:f>IF(A63="","",Parametreler!$B$5*K63*E63)</x:f>
        <x:v>0.05887736385741415</x:v>
      </x:c>
      <x:c r="O63" s="26" t="n">
        <x:f>IF(A63="","",Parametreler!$B$5*K63)</x:f>
        <x:v>-0.05887736385741415</x:v>
      </x:c>
      <x:c r="P63" s="26" t="n">
        <x:f>IF(A63="","",G63+M63)</x:f>
        <x:v>0.47013560917167563</x:v>
      </x:c>
      <x:c r="Q63" s="26" t="n">
        <x:f>IF(A63="","",H63+N63)</x:f>
        <x:v>0.49968842113272915</x:v>
      </x:c>
      <x:c r="R63" s="26" t="n">
        <x:f>IF(A63="","",I63+O63)</x:f>
        <x:v>-0.5583056410370475</x:v>
      </x:c>
    </x:row>
    <x:row r="64" ht="20" customHeight="1">
      <x:c r="A64" t="n">
        <x:f>IF(60&lt;=Parametreler!$B$9*Parametreler!$B$10,60,"")</x:f>
        <x:v>60</x:v>
      </x:c>
      <x:c r="B64" t="n">
        <x:f>IF(A64="","",INT((A64-1)/Parametreler!$B$10)+1)</x:f>
        <x:v>15</x:v>
      </x:c>
      <x:c r="C64" t="n">
        <x:f>IF(A64="","",MOD(A64-1,Parametreler!$B$10)+1)</x:f>
        <x:v>4</x:v>
      </x:c>
      <x:c r="D64" s="26" t="n">
        <x:f>IF(A64="","",INDEX('Veri Kumesi'!$B$5:$B$8,C64))</x:f>
        <x:v>1</x:v>
      </x:c>
      <x:c r="E64" s="26" t="n">
        <x:f>IF(A64="","",INDEX('Veri Kumesi'!$C$5:$C$8,C64))</x:f>
        <x:v>1</x:v>
      </x:c>
      <x:c r="F64" s="26" t="n">
        <x:f>IF(A64="","",INDEX('Veri Kumesi'!$D$5:$D$8,C64))</x:f>
        <x:v>1</x:v>
      </x:c>
      <x:c r="G64" s="26" t="n">
        <x:f>IF(A64="","",P63)</x:f>
        <x:v>0.47013560917167563</x:v>
      </x:c>
      <x:c r="H64" s="26" t="n">
        <x:f>IF(A64="","",Q63)</x:f>
        <x:v>0.49968842113272915</x:v>
      </x:c>
      <x:c r="I64" s="26" t="n">
        <x:f>IF(A64="","",R63)</x:f>
        <x:v>-0.5583056410370475</x:v>
      </x:c>
      <x:c r="J64" s="26" t="n">
        <x:f>IF(A64="","",G64*D64+H64*E64+I64)</x:f>
        <x:v>0.4115183892673573</x:v>
      </x:c>
      <x:c r="K64" s="26" t="n">
        <x:f>IF(A64="","",F64-J64)</x:f>
        <x:v>0.5884816107326427</x:v>
      </x:c>
      <x:c r="L64" s="26" t="n">
        <x:f>IF(A64="","",K64^2)</x:f>
        <x:v>0.34631060617048565</x:v>
      </x:c>
      <x:c r="M64" s="26" t="n">
        <x:f>IF(A64="","",Parametreler!$B$5*K64*D64)</x:f>
        <x:v>0.05884816107326427</x:v>
      </x:c>
      <x:c r="N64" s="26" t="n">
        <x:f>IF(A64="","",Parametreler!$B$5*K64*E64)</x:f>
        <x:v>0.05884816107326427</x:v>
      </x:c>
      <x:c r="O64" s="26" t="n">
        <x:f>IF(A64="","",Parametreler!$B$5*K64)</x:f>
        <x:v>0.05884816107326427</x:v>
      </x:c>
      <x:c r="P64" s="26" t="n">
        <x:f>IF(A64="","",G64+M64)</x:f>
        <x:v>0.5289837702449399</x:v>
      </x:c>
      <x:c r="Q64" s="26" t="n">
        <x:f>IF(A64="","",H64+N64)</x:f>
        <x:v>0.5585365822059934</x:v>
      </x:c>
      <x:c r="R64" s="26" t="n">
        <x:f>IF(A64="","",I64+O64)</x:f>
        <x:v>-0.4994574799637832</x:v>
      </x:c>
    </x:row>
    <x:row r="65" ht="20" customHeight="1">
      <x:c r="A65" t="n">
        <x:f>IF(61&lt;=Parametreler!$B$9*Parametreler!$B$10,61,"")</x:f>
        <x:v>61</x:v>
      </x:c>
      <x:c r="B65" t="n">
        <x:f>IF(A65="","",INT((A65-1)/Parametreler!$B$10)+1)</x:f>
        <x:v>16</x:v>
      </x:c>
      <x:c r="C65" t="n">
        <x:f>IF(A65="","",MOD(A65-1,Parametreler!$B$10)+1)</x:f>
        <x:v>1</x:v>
      </x:c>
      <x:c r="D65" s="26" t="n">
        <x:f>IF(A65="","",INDEX('Veri Kumesi'!$B$5:$B$8,C65))</x:f>
        <x:v>-1</x:v>
      </x:c>
      <x:c r="E65" s="26" t="n">
        <x:f>IF(A65="","",INDEX('Veri Kumesi'!$C$5:$C$8,C65))</x:f>
        <x:v>-1</x:v>
      </x:c>
      <x:c r="F65" s="26" t="n">
        <x:f>IF(A65="","",INDEX('Veri Kumesi'!$D$5:$D$8,C65))</x:f>
        <x:v>-1</x:v>
      </x:c>
      <x:c r="G65" s="26" t="n">
        <x:f>IF(A65="","",P64)</x:f>
        <x:v>0.5289837702449399</x:v>
      </x:c>
      <x:c r="H65" s="26" t="n">
        <x:f>IF(A65="","",Q64)</x:f>
        <x:v>0.5585365822059934</x:v>
      </x:c>
      <x:c r="I65" s="26" t="n">
        <x:f>IF(A65="","",R64)</x:f>
        <x:v>-0.4994574799637832</x:v>
      </x:c>
      <x:c r="J65" s="26" t="n">
        <x:f>IF(A65="","",G65*D65+H65*E65+I65)</x:f>
        <x:v>-1.5869778324147166</x:v>
      </x:c>
      <x:c r="K65" s="26" t="n">
        <x:f>IF(A65="","",F65-J65)</x:f>
        <x:v>0.5869778324147166</x:v>
      </x:c>
      <x:c r="L65" s="26" t="n">
        <x:f>IF(A65="","",K65^2)</x:f>
        <x:v>0.34454297574627907</x:v>
      </x:c>
      <x:c r="M65" s="26" t="n">
        <x:f>IF(A65="","",Parametreler!$B$5*K65*D65)</x:f>
        <x:v>-0.05869778324147166</x:v>
      </x:c>
      <x:c r="N65" s="26" t="n">
        <x:f>IF(A65="","",Parametreler!$B$5*K65*E65)</x:f>
        <x:v>-0.05869778324147166</x:v>
      </x:c>
      <x:c r="O65" s="26" t="n">
        <x:f>IF(A65="","",Parametreler!$B$5*K65)</x:f>
        <x:v>0.05869778324147166</x:v>
      </x:c>
      <x:c r="P65" s="26" t="n">
        <x:f>IF(A65="","",G65+M65)</x:f>
        <x:v>0.47028598700346824</x:v>
      </x:c>
      <x:c r="Q65" s="26" t="n">
        <x:f>IF(A65="","",H65+N65)</x:f>
        <x:v>0.49983879896452177</x:v>
      </x:c>
      <x:c r="R65" s="26" t="n">
        <x:f>IF(A65="","",I65+O65)</x:f>
        <x:v>-0.4407596967223115</x:v>
      </x:c>
    </x:row>
    <x:row r="66" ht="20" customHeight="1">
      <x:c r="A66" t="n">
        <x:f>IF(62&lt;=Parametreler!$B$9*Parametreler!$B$10,62,"")</x:f>
        <x:v>62</x:v>
      </x:c>
      <x:c r="B66" t="n">
        <x:f>IF(A66="","",INT((A66-1)/Parametreler!$B$10)+1)</x:f>
        <x:v>16</x:v>
      </x:c>
      <x:c r="C66" t="n">
        <x:f>IF(A66="","",MOD(A66-1,Parametreler!$B$10)+1)</x:f>
        <x:v>2</x:v>
      </x:c>
      <x:c r="D66" s="26" t="n">
        <x:f>IF(A66="","",INDEX('Veri Kumesi'!$B$5:$B$8,C66))</x:f>
        <x:v>-1</x:v>
      </x:c>
      <x:c r="E66" s="26" t="n">
        <x:f>IF(A66="","",INDEX('Veri Kumesi'!$C$5:$C$8,C66))</x:f>
        <x:v>1</x:v>
      </x:c>
      <x:c r="F66" s="26" t="n">
        <x:f>IF(A66="","",INDEX('Veri Kumesi'!$D$5:$D$8,C66))</x:f>
        <x:v>-1</x:v>
      </x:c>
      <x:c r="G66" s="26" t="n">
        <x:f>IF(A66="","",P65)</x:f>
        <x:v>0.47028598700346824</x:v>
      </x:c>
      <x:c r="H66" s="26" t="n">
        <x:f>IF(A66="","",Q65)</x:f>
        <x:v>0.49983879896452177</x:v>
      </x:c>
      <x:c r="I66" s="26" t="n">
        <x:f>IF(A66="","",R65)</x:f>
        <x:v>-0.4407596967223115</x:v>
      </x:c>
      <x:c r="J66" s="26" t="n">
        <x:f>IF(A66="","",G66*D66+H66*E66+I66)</x:f>
        <x:v>-0.411206884761258</x:v>
      </x:c>
      <x:c r="K66" s="26" t="n">
        <x:f>IF(A66="","",F66-J66)</x:f>
        <x:v>-0.588793115238742</x:v>
      </x:c>
      <x:c r="L66" s="26" t="n">
        <x:f>IF(A66="","",K66^2)</x:f>
        <x:v>0.3466773325525425</x:v>
      </x:c>
      <x:c r="M66" s="26" t="n">
        <x:f>IF(A66="","",Parametreler!$B$5*K66*D66)</x:f>
        <x:v>0.058879311523874205</x:v>
      </x:c>
      <x:c r="N66" s="26" t="n">
        <x:f>IF(A66="","",Parametreler!$B$5*K66*E66)</x:f>
        <x:v>-0.058879311523874205</x:v>
      </x:c>
      <x:c r="O66" s="26" t="n">
        <x:f>IF(A66="","",Parametreler!$B$5*K66)</x:f>
        <x:v>-0.058879311523874205</x:v>
      </x:c>
      <x:c r="P66" s="26" t="n">
        <x:f>IF(A66="","",G66+M66)</x:f>
        <x:v>0.5291652985273424</x:v>
      </x:c>
      <x:c r="Q66" s="26" t="n">
        <x:f>IF(A66="","",H66+N66)</x:f>
        <x:v>0.44095948744064756</x:v>
      </x:c>
      <x:c r="R66" s="26" t="n">
        <x:f>IF(A66="","",I66+O66)</x:f>
        <x:v>-0.49963900824618573</x:v>
      </x:c>
    </x:row>
    <x:row r="67" ht="20" customHeight="1">
      <x:c r="A67" t="n">
        <x:f>IF(63&lt;=Parametreler!$B$9*Parametreler!$B$10,63,"")</x:f>
        <x:v>63</x:v>
      </x:c>
      <x:c r="B67" t="n">
        <x:f>IF(A67="","",INT((A67-1)/Parametreler!$B$10)+1)</x:f>
        <x:v>16</x:v>
      </x:c>
      <x:c r="C67" t="n">
        <x:f>IF(A67="","",MOD(A67-1,Parametreler!$B$10)+1)</x:f>
        <x:v>3</x:v>
      </x:c>
      <x:c r="D67" s="26" t="n">
        <x:f>IF(A67="","",INDEX('Veri Kumesi'!$B$5:$B$8,C67))</x:f>
        <x:v>1</x:v>
      </x:c>
      <x:c r="E67" s="26" t="n">
        <x:f>IF(A67="","",INDEX('Veri Kumesi'!$C$5:$C$8,C67))</x:f>
        <x:v>-1</x:v>
      </x:c>
      <x:c r="F67" s="26" t="n">
        <x:f>IF(A67="","",INDEX('Veri Kumesi'!$D$5:$D$8,C67))</x:f>
        <x:v>-1</x:v>
      </x:c>
      <x:c r="G67" s="26" t="n">
        <x:f>IF(A67="","",P66)</x:f>
        <x:v>0.5291652985273424</x:v>
      </x:c>
      <x:c r="H67" s="26" t="n">
        <x:f>IF(A67="","",Q66)</x:f>
        <x:v>0.44095948744064756</x:v>
      </x:c>
      <x:c r="I67" s="26" t="n">
        <x:f>IF(A67="","",R66)</x:f>
        <x:v>-0.49963900824618573</x:v>
      </x:c>
      <x:c r="J67" s="26" t="n">
        <x:f>IF(A67="","",G67*D67+H67*E67+I67)</x:f>
        <x:v>-0.4114331971594909</x:v>
      </x:c>
      <x:c r="K67" s="26" t="n">
        <x:f>IF(A67="","",F67-J67)</x:f>
        <x:v>-0.5885668028405091</x:v>
      </x:c>
      <x:c r="L67" s="26" t="n">
        <x:f>IF(A67="","",K67^2)</x:f>
        <x:v>0.3464108814058987</x:v>
      </x:c>
      <x:c r="M67" s="26" t="n">
        <x:f>IF(A67="","",Parametreler!$B$5*K67*D67)</x:f>
        <x:v>-0.058856680284050916</x:v>
      </x:c>
      <x:c r="N67" s="26" t="n">
        <x:f>IF(A67="","",Parametreler!$B$5*K67*E67)</x:f>
        <x:v>0.058856680284050916</x:v>
      </x:c>
      <x:c r="O67" s="26" t="n">
        <x:f>IF(A67="","",Parametreler!$B$5*K67)</x:f>
        <x:v>-0.058856680284050916</x:v>
      </x:c>
      <x:c r="P67" s="26" t="n">
        <x:f>IF(A67="","",G67+M67)</x:f>
        <x:v>0.4703086182432915</x:v>
      </x:c>
      <x:c r="Q67" s="26" t="n">
        <x:f>IF(A67="","",H67+N67)</x:f>
        <x:v>0.4998161677246985</x:v>
      </x:c>
      <x:c r="R67" s="26" t="n">
        <x:f>IF(A67="","",I67+O67)</x:f>
        <x:v>-0.5584956885302367</x:v>
      </x:c>
    </x:row>
    <x:row r="68" ht="20" customHeight="1">
      <x:c r="A68" t="n">
        <x:f>IF(64&lt;=Parametreler!$B$9*Parametreler!$B$10,64,"")</x:f>
        <x:v>64</x:v>
      </x:c>
      <x:c r="B68" t="n">
        <x:f>IF(A68="","",INT((A68-1)/Parametreler!$B$10)+1)</x:f>
        <x:v>16</x:v>
      </x:c>
      <x:c r="C68" t="n">
        <x:f>IF(A68="","",MOD(A68-1,Parametreler!$B$10)+1)</x:f>
        <x:v>4</x:v>
      </x:c>
      <x:c r="D68" s="26" t="n">
        <x:f>IF(A68="","",INDEX('Veri Kumesi'!$B$5:$B$8,C68))</x:f>
        <x:v>1</x:v>
      </x:c>
      <x:c r="E68" s="26" t="n">
        <x:f>IF(A68="","",INDEX('Veri Kumesi'!$C$5:$C$8,C68))</x:f>
        <x:v>1</x:v>
      </x:c>
      <x:c r="F68" s="26" t="n">
        <x:f>IF(A68="","",INDEX('Veri Kumesi'!$D$5:$D$8,C68))</x:f>
        <x:v>1</x:v>
      </x:c>
      <x:c r="G68" s="26" t="n">
        <x:f>IF(A68="","",P67)</x:f>
        <x:v>0.4703086182432915</x:v>
      </x:c>
      <x:c r="H68" s="26" t="n">
        <x:f>IF(A68="","",Q67)</x:f>
        <x:v>0.4998161677246985</x:v>
      </x:c>
      <x:c r="I68" s="26" t="n">
        <x:f>IF(A68="","",R67)</x:f>
        <x:v>-0.5584956885302367</x:v>
      </x:c>
      <x:c r="J68" s="26" t="n">
        <x:f>IF(A68="","",G68*D68+H68*E68+I68)</x:f>
        <x:v>0.41162909743775333</x:v>
      </x:c>
      <x:c r="K68" s="26" t="n">
        <x:f>IF(A68="","",F68-J68)</x:f>
        <x:v>0.5883709025622467</x:v>
      </x:c>
      <x:c r="L68" s="26" t="n">
        <x:f>IF(A68="","",K68^2)</x:f>
        <x:v>0.34618031898191276</x:v>
      </x:c>
      <x:c r="M68" s="26" t="n">
        <x:f>IF(A68="","",Parametreler!$B$5*K68*D68)</x:f>
        <x:v>0.05883709025622467</x:v>
      </x:c>
      <x:c r="N68" s="26" t="n">
        <x:f>IF(A68="","",Parametreler!$B$5*K68*E68)</x:f>
        <x:v>0.05883709025622467</x:v>
      </x:c>
      <x:c r="O68" s="26" t="n">
        <x:f>IF(A68="","",Parametreler!$B$5*K68)</x:f>
        <x:v>0.05883709025622467</x:v>
      </x:c>
      <x:c r="P68" s="26" t="n">
        <x:f>IF(A68="","",G68+M68)</x:f>
        <x:v>0.5291457084995161</x:v>
      </x:c>
      <x:c r="Q68" s="26" t="n">
        <x:f>IF(A68="","",H68+N68)</x:f>
        <x:v>0.5586532579809231</x:v>
      </x:c>
      <x:c r="R68" s="26" t="n">
        <x:f>IF(A68="","",I68+O68)</x:f>
        <x:v>-0.499658598274012</x:v>
      </x:c>
    </x:row>
    <x:row r="69" ht="20" customHeight="1">
      <x:c r="A69" t="n">
        <x:f>IF(65&lt;=Parametreler!$B$9*Parametreler!$B$10,65,"")</x:f>
        <x:v>65</x:v>
      </x:c>
      <x:c r="B69" t="n">
        <x:f>IF(A69="","",INT((A69-1)/Parametreler!$B$10)+1)</x:f>
        <x:v>17</x:v>
      </x:c>
      <x:c r="C69" t="n">
        <x:f>IF(A69="","",MOD(A69-1,Parametreler!$B$10)+1)</x:f>
        <x:v>1</x:v>
      </x:c>
      <x:c r="D69" s="26" t="n">
        <x:f>IF(A69="","",INDEX('Veri Kumesi'!$B$5:$B$8,C69))</x:f>
        <x:v>-1</x:v>
      </x:c>
      <x:c r="E69" s="26" t="n">
        <x:f>IF(A69="","",INDEX('Veri Kumesi'!$C$5:$C$8,C69))</x:f>
        <x:v>-1</x:v>
      </x:c>
      <x:c r="F69" s="26" t="n">
        <x:f>IF(A69="","",INDEX('Veri Kumesi'!$D$5:$D$8,C69))</x:f>
        <x:v>-1</x:v>
      </x:c>
      <x:c r="G69" s="26" t="n">
        <x:f>IF(A69="","",P68)</x:f>
        <x:v>0.5291457084995161</x:v>
      </x:c>
      <x:c r="H69" s="26" t="n">
        <x:f>IF(A69="","",Q68)</x:f>
        <x:v>0.5586532579809231</x:v>
      </x:c>
      <x:c r="I69" s="26" t="n">
        <x:f>IF(A69="","",R68)</x:f>
        <x:v>-0.499658598274012</x:v>
      </x:c>
      <x:c r="J69" s="26" t="n">
        <x:f>IF(A69="","",G69*D69+H69*E69+I69)</x:f>
        <x:v>-1.5874575647544513</x:v>
      </x:c>
      <x:c r="K69" s="26" t="n">
        <x:f>IF(A69="","",F69-J69)</x:f>
        <x:v>0.5874575647544513</x:v>
      </x:c>
      <x:c r="L69" s="26" t="n">
        <x:f>IF(A69="","",K69^2)</x:f>
        <x:v>0.34510639038723034</x:v>
      </x:c>
      <x:c r="M69" s="26" t="n">
        <x:f>IF(A69="","",Parametreler!$B$5*K69*D69)</x:f>
        <x:v>-0.05874575647544514</x:v>
      </x:c>
      <x:c r="N69" s="26" t="n">
        <x:f>IF(A69="","",Parametreler!$B$5*K69*E69)</x:f>
        <x:v>-0.05874575647544514</x:v>
      </x:c>
      <x:c r="O69" s="26" t="n">
        <x:f>IF(A69="","",Parametreler!$B$5*K69)</x:f>
        <x:v>0.05874575647544514</x:v>
      </x:c>
      <x:c r="P69" s="26" t="n">
        <x:f>IF(A69="","",G69+M69)</x:f>
        <x:v>0.47039995202407103</x:v>
      </x:c>
      <x:c r="Q69" s="26" t="n">
        <x:f>IF(A69="","",H69+N69)</x:f>
        <x:v>0.499907501505478</x:v>
      </x:c>
      <x:c r="R69" s="26" t="n">
        <x:f>IF(A69="","",I69+O69)</x:f>
        <x:v>-0.4409128417985668</x:v>
      </x:c>
    </x:row>
    <x:row r="70" ht="20" customHeight="1">
      <x:c r="A70" t="n">
        <x:f>IF(66&lt;=Parametreler!$B$9*Parametreler!$B$10,66,"")</x:f>
        <x:v>66</x:v>
      </x:c>
      <x:c r="B70" t="n">
        <x:f>IF(A70="","",INT((A70-1)/Parametreler!$B$10)+1)</x:f>
        <x:v>17</x:v>
      </x:c>
      <x:c r="C70" t="n">
        <x:f>IF(A70="","",MOD(A70-1,Parametreler!$B$10)+1)</x:f>
        <x:v>2</x:v>
      </x:c>
      <x:c r="D70" s="26" t="n">
        <x:f>IF(A70="","",INDEX('Veri Kumesi'!$B$5:$B$8,C70))</x:f>
        <x:v>-1</x:v>
      </x:c>
      <x:c r="E70" s="26" t="n">
        <x:f>IF(A70="","",INDEX('Veri Kumesi'!$C$5:$C$8,C70))</x:f>
        <x:v>1</x:v>
      </x:c>
      <x:c r="F70" s="26" t="n">
        <x:f>IF(A70="","",INDEX('Veri Kumesi'!$D$5:$D$8,C70))</x:f>
        <x:v>-1</x:v>
      </x:c>
      <x:c r="G70" s="26" t="n">
        <x:f>IF(A70="","",P69)</x:f>
        <x:v>0.47039995202407103</x:v>
      </x:c>
      <x:c r="H70" s="26" t="n">
        <x:f>IF(A70="","",Q69)</x:f>
        <x:v>0.499907501505478</x:v>
      </x:c>
      <x:c r="I70" s="26" t="n">
        <x:f>IF(A70="","",R69)</x:f>
        <x:v>-0.4409128417985668</x:v>
      </x:c>
      <x:c r="J70" s="26" t="n">
        <x:f>IF(A70="","",G70*D70+H70*E70+I70)</x:f>
        <x:v>-0.41140529231715983</x:v>
      </x:c>
      <x:c r="K70" s="26" t="n">
        <x:f>IF(A70="","",F70-J70)</x:f>
        <x:v>-0.5885947076828402</x:v>
      </x:c>
      <x:c r="L70" s="26" t="n">
        <x:f>IF(A70="","",K70^2)</x:f>
        <x:v>0.3464437299122481</x:v>
      </x:c>
      <x:c r="M70" s="26" t="n">
        <x:f>IF(A70="","",Parametreler!$B$5*K70*D70)</x:f>
        <x:v>0.05885947076828402</x:v>
      </x:c>
      <x:c r="N70" s="26" t="n">
        <x:f>IF(A70="","",Parametreler!$B$5*K70*E70)</x:f>
        <x:v>-0.05885947076828402</x:v>
      </x:c>
      <x:c r="O70" s="26" t="n">
        <x:f>IF(A70="","",Parametreler!$B$5*K70)</x:f>
        <x:v>-0.05885947076828402</x:v>
      </x:c>
      <x:c r="P70" s="26" t="n">
        <x:f>IF(A70="","",G70+M70)</x:f>
        <x:v>0.529259422792355</x:v>
      </x:c>
      <x:c r="Q70" s="26" t="n">
        <x:f>IF(A70="","",H70+N70)</x:f>
        <x:v>0.441048030737194</x:v>
      </x:c>
      <x:c r="R70" s="26" t="n">
        <x:f>IF(A70="","",I70+O70)</x:f>
        <x:v>-0.49977231256685084</x:v>
      </x:c>
    </x:row>
    <x:row r="71" ht="20" customHeight="1">
      <x:c r="A71" t="n">
        <x:f>IF(67&lt;=Parametreler!$B$9*Parametreler!$B$10,67,"")</x:f>
        <x:v>67</x:v>
      </x:c>
      <x:c r="B71" t="n">
        <x:f>IF(A71="","",INT((A71-1)/Parametreler!$B$10)+1)</x:f>
        <x:v>17</x:v>
      </x:c>
      <x:c r="C71" t="n">
        <x:f>IF(A71="","",MOD(A71-1,Parametreler!$B$10)+1)</x:f>
        <x:v>3</x:v>
      </x:c>
      <x:c r="D71" s="26" t="n">
        <x:f>IF(A71="","",INDEX('Veri Kumesi'!$B$5:$B$8,C71))</x:f>
        <x:v>1</x:v>
      </x:c>
      <x:c r="E71" s="26" t="n">
        <x:f>IF(A71="","",INDEX('Veri Kumesi'!$C$5:$C$8,C71))</x:f>
        <x:v>-1</x:v>
      </x:c>
      <x:c r="F71" s="26" t="n">
        <x:f>IF(A71="","",INDEX('Veri Kumesi'!$D$5:$D$8,C71))</x:f>
        <x:v>-1</x:v>
      </x:c>
      <x:c r="G71" s="26" t="n">
        <x:f>IF(A71="","",P70)</x:f>
        <x:v>0.529259422792355</x:v>
      </x:c>
      <x:c r="H71" s="26" t="n">
        <x:f>IF(A71="","",Q70)</x:f>
        <x:v>0.441048030737194</x:v>
      </x:c>
      <x:c r="I71" s="26" t="n">
        <x:f>IF(A71="","",R70)</x:f>
        <x:v>-0.49977231256685084</x:v>
      </x:c>
      <x:c r="J71" s="26" t="n">
        <x:f>IF(A71="","",G71*D71+H71*E71+I71)</x:f>
        <x:v>-0.4115609205116898</x:v>
      </x:c>
      <x:c r="K71" s="26" t="n">
        <x:f>IF(A71="","",F71-J71)</x:f>
        <x:v>-0.5884390794883102</x:v>
      </x:c>
      <x:c r="L71" s="26" t="n">
        <x:f>IF(A71="","",K71^2)</x:f>
        <x:v>0.34626055026904984</x:v>
      </x:c>
      <x:c r="M71" s="26" t="n">
        <x:f>IF(A71="","",Parametreler!$B$5*K71*D71)</x:f>
        <x:v>-0.05884390794883102</x:v>
      </x:c>
      <x:c r="N71" s="26" t="n">
        <x:f>IF(A71="","",Parametreler!$B$5*K71*E71)</x:f>
        <x:v>0.05884390794883102</x:v>
      </x:c>
      <x:c r="O71" s="26" t="n">
        <x:f>IF(A71="","",Parametreler!$B$5*K71)</x:f>
        <x:v>-0.05884390794883102</x:v>
      </x:c>
      <x:c r="P71" s="26" t="n">
        <x:f>IF(A71="","",G71+M71)</x:f>
        <x:v>0.470415514843524</x:v>
      </x:c>
      <x:c r="Q71" s="26" t="n">
        <x:f>IF(A71="","",H71+N71)</x:f>
        <x:v>0.49989193868602505</x:v>
      </x:c>
      <x:c r="R71" s="26" t="n">
        <x:f>IF(A71="","",I71+O71)</x:f>
        <x:v>-0.5586162205156818</x:v>
      </x:c>
    </x:row>
    <x:row r="72" ht="20" customHeight="1">
      <x:c r="A72" t="n">
        <x:f>IF(68&lt;=Parametreler!$B$9*Parametreler!$B$10,68,"")</x:f>
        <x:v>68</x:v>
      </x:c>
      <x:c r="B72" t="n">
        <x:f>IF(A72="","",INT((A72-1)/Parametreler!$B$10)+1)</x:f>
        <x:v>17</x:v>
      </x:c>
      <x:c r="C72" t="n">
        <x:f>IF(A72="","",MOD(A72-1,Parametreler!$B$10)+1)</x:f>
        <x:v>4</x:v>
      </x:c>
      <x:c r="D72" s="26" t="n">
        <x:f>IF(A72="","",INDEX('Veri Kumesi'!$B$5:$B$8,C72))</x:f>
        <x:v>1</x:v>
      </x:c>
      <x:c r="E72" s="26" t="n">
        <x:f>IF(A72="","",INDEX('Veri Kumesi'!$C$5:$C$8,C72))</x:f>
        <x:v>1</x:v>
      </x:c>
      <x:c r="F72" s="26" t="n">
        <x:f>IF(A72="","",INDEX('Veri Kumesi'!$D$5:$D$8,C72))</x:f>
        <x:v>1</x:v>
      </x:c>
      <x:c r="G72" s="26" t="n">
        <x:f>IF(A72="","",P71)</x:f>
        <x:v>0.470415514843524</x:v>
      </x:c>
      <x:c r="H72" s="26" t="n">
        <x:f>IF(A72="","",Q71)</x:f>
        <x:v>0.49989193868602505</x:v>
      </x:c>
      <x:c r="I72" s="26" t="n">
        <x:f>IF(A72="","",R71)</x:f>
        <x:v>-0.5586162205156818</x:v>
      </x:c>
      <x:c r="J72" s="26" t="n">
        <x:f>IF(A72="","",G72*D72+H72*E72+I72)</x:f>
        <x:v>0.41169123301386723</x:v>
      </x:c>
      <x:c r="K72" s="26" t="n">
        <x:f>IF(A72="","",F72-J72)</x:f>
        <x:v>0.5883087669861328</x:v>
      </x:c>
      <x:c r="L72" s="26" t="n">
        <x:f>IF(A72="","",K72^2)</x:f>
        <x:v>0.34610720531274386</x:v>
      </x:c>
      <x:c r="M72" s="26" t="n">
        <x:f>IF(A72="","",Parametreler!$B$5*K72*D72)</x:f>
        <x:v>0.05883087669861328</x:v>
      </x:c>
      <x:c r="N72" s="26" t="n">
        <x:f>IF(A72="","",Parametreler!$B$5*K72*E72)</x:f>
        <x:v>0.05883087669861328</x:v>
      </x:c>
      <x:c r="O72" s="26" t="n">
        <x:f>IF(A72="","",Parametreler!$B$5*K72)</x:f>
        <x:v>0.05883087669861328</x:v>
      </x:c>
      <x:c r="P72" s="26" t="n">
        <x:f>IF(A72="","",G72+M72)</x:f>
        <x:v>0.5292463915421373</x:v>
      </x:c>
      <x:c r="Q72" s="26" t="n">
        <x:f>IF(A72="","",H72+N72)</x:f>
        <x:v>0.5587228153846383</x:v>
      </x:c>
      <x:c r="R72" s="26" t="n">
        <x:f>IF(A72="","",I72+O72)</x:f>
        <x:v>-0.4997853438170685</x:v>
      </x:c>
    </x:row>
    <x:row r="73" ht="20" customHeight="1">
      <x:c r="A73" t="n">
        <x:f>IF(69&lt;=Parametreler!$B$9*Parametreler!$B$10,69,"")</x:f>
        <x:v>69</x:v>
      </x:c>
      <x:c r="B73" t="n">
        <x:f>IF(A73="","",INT((A73-1)/Parametreler!$B$10)+1)</x:f>
        <x:v>18</x:v>
      </x:c>
      <x:c r="C73" t="n">
        <x:f>IF(A73="","",MOD(A73-1,Parametreler!$B$10)+1)</x:f>
        <x:v>1</x:v>
      </x:c>
      <x:c r="D73" s="26" t="n">
        <x:f>IF(A73="","",INDEX('Veri Kumesi'!$B$5:$B$8,C73))</x:f>
        <x:v>-1</x:v>
      </x:c>
      <x:c r="E73" s="26" t="n">
        <x:f>IF(A73="","",INDEX('Veri Kumesi'!$C$5:$C$8,C73))</x:f>
        <x:v>-1</x:v>
      </x:c>
      <x:c r="F73" s="26" t="n">
        <x:f>IF(A73="","",INDEX('Veri Kumesi'!$D$5:$D$8,C73))</x:f>
        <x:v>-1</x:v>
      </x:c>
      <x:c r="G73" s="26" t="n">
        <x:f>IF(A73="","",P72)</x:f>
        <x:v>0.5292463915421373</x:v>
      </x:c>
      <x:c r="H73" s="26" t="n">
        <x:f>IF(A73="","",Q72)</x:f>
        <x:v>0.5587228153846383</x:v>
      </x:c>
      <x:c r="I73" s="26" t="n">
        <x:f>IF(A73="","",R72)</x:f>
        <x:v>-0.4997853438170685</x:v>
      </x:c>
      <x:c r="J73" s="26" t="n">
        <x:f>IF(A73="","",G73*D73+H73*E73+I73)</x:f>
        <x:v>-1.587754550743844</x:v>
      </x:c>
      <x:c r="K73" s="26" t="n">
        <x:f>IF(A73="","",F73-J73)</x:f>
        <x:v>0.587754550743844</x:v>
      </x:c>
      <x:c r="L73" s="26" t="n">
        <x:f>IF(A73="","",K73^2)</x:f>
        <x:v>0.3454554119200979</x:v>
      </x:c>
      <x:c r="M73" s="26" t="n">
        <x:f>IF(A73="","",Parametreler!$B$5*K73*D73)</x:f>
        <x:v>-0.0587754550743844</x:v>
      </x:c>
      <x:c r="N73" s="26" t="n">
        <x:f>IF(A73="","",Parametreler!$B$5*K73*E73)</x:f>
        <x:v>-0.0587754550743844</x:v>
      </x:c>
      <x:c r="O73" s="26" t="n">
        <x:f>IF(A73="","",Parametreler!$B$5*K73)</x:f>
        <x:v>0.0587754550743844</x:v>
      </x:c>
      <x:c r="P73" s="26" t="n">
        <x:f>IF(A73="","",G73+M73)</x:f>
        <x:v>0.47047093646775284</x:v>
      </x:c>
      <x:c r="Q73" s="26" t="n">
        <x:f>IF(A73="","",H73+N73)</x:f>
        <x:v>0.4999473603102539</x:v>
      </x:c>
      <x:c r="R73" s="26" t="n">
        <x:f>IF(A73="","",I73+O73)</x:f>
        <x:v>-0.4410098887426841</x:v>
      </x:c>
    </x:row>
    <x:row r="74" ht="20" customHeight="1">
      <x:c r="A74" t="n">
        <x:f>IF(70&lt;=Parametreler!$B$9*Parametreler!$B$10,70,"")</x:f>
        <x:v>70</x:v>
      </x:c>
      <x:c r="B74" t="n">
        <x:f>IF(A74="","",INT((A74-1)/Parametreler!$B$10)+1)</x:f>
        <x:v>18</x:v>
      </x:c>
      <x:c r="C74" t="n">
        <x:f>IF(A74="","",MOD(A74-1,Parametreler!$B$10)+1)</x:f>
        <x:v>2</x:v>
      </x:c>
      <x:c r="D74" s="26" t="n">
        <x:f>IF(A74="","",INDEX('Veri Kumesi'!$B$5:$B$8,C74))</x:f>
        <x:v>-1</x:v>
      </x:c>
      <x:c r="E74" s="26" t="n">
        <x:f>IF(A74="","",INDEX('Veri Kumesi'!$C$5:$C$8,C74))</x:f>
        <x:v>1</x:v>
      </x:c>
      <x:c r="F74" s="26" t="n">
        <x:f>IF(A74="","",INDEX('Veri Kumesi'!$D$5:$D$8,C74))</x:f>
        <x:v>-1</x:v>
      </x:c>
      <x:c r="G74" s="26" t="n">
        <x:f>IF(A74="","",P73)</x:f>
        <x:v>0.47047093646775284</x:v>
      </x:c>
      <x:c r="H74" s="26" t="n">
        <x:f>IF(A74="","",Q73)</x:f>
        <x:v>0.4999473603102539</x:v>
      </x:c>
      <x:c r="I74" s="26" t="n">
        <x:f>IF(A74="","",R73)</x:f>
        <x:v>-0.4410098887426841</x:v>
      </x:c>
      <x:c r="J74" s="26" t="n">
        <x:f>IF(A74="","",G74*D74+H74*E74+I74)</x:f>
        <x:v>-0.41153346490018305</x:v>
      </x:c>
      <x:c r="K74" s="26" t="n">
        <x:f>IF(A74="","",F74-J74)</x:f>
        <x:v>-0.588466535099817</x:v>
      </x:c>
      <x:c r="L74" s="26" t="n">
        <x:f>IF(A74="","",K74^2)</x:f>
        <x:v>0.3462928629323841</x:v>
      </x:c>
      <x:c r="M74" s="26" t="n">
        <x:f>IF(A74="","",Parametreler!$B$5*K74*D74)</x:f>
        <x:v>0.058846653509981695</x:v>
      </x:c>
      <x:c r="N74" s="26" t="n">
        <x:f>IF(A74="","",Parametreler!$B$5*K74*E74)</x:f>
        <x:v>-0.058846653509981695</x:v>
      </x:c>
      <x:c r="O74" s="26" t="n">
        <x:f>IF(A74="","",Parametreler!$B$5*K74)</x:f>
        <x:v>-0.058846653509981695</x:v>
      </x:c>
      <x:c r="P74" s="26" t="n">
        <x:f>IF(A74="","",G74+M74)</x:f>
        <x:v>0.5293175899777345</x:v>
      </x:c>
      <x:c r="Q74" s="26" t="n">
        <x:f>IF(A74="","",H74+N74)</x:f>
        <x:v>0.4411007068002722</x:v>
      </x:c>
      <x:c r="R74" s="26" t="n">
        <x:f>IF(A74="","",I74+O74)</x:f>
        <x:v>-0.4998565422526658</x:v>
      </x:c>
    </x:row>
    <x:row r="75" ht="20" customHeight="1">
      <x:c r="A75" t="n">
        <x:f>IF(71&lt;=Parametreler!$B$9*Parametreler!$B$10,71,"")</x:f>
        <x:v>71</x:v>
      </x:c>
      <x:c r="B75" t="n">
        <x:f>IF(A75="","",INT((A75-1)/Parametreler!$B$10)+1)</x:f>
        <x:v>18</x:v>
      </x:c>
      <x:c r="C75" t="n">
        <x:f>IF(A75="","",MOD(A75-1,Parametreler!$B$10)+1)</x:f>
        <x:v>3</x:v>
      </x:c>
      <x:c r="D75" s="26" t="n">
        <x:f>IF(A75="","",INDEX('Veri Kumesi'!$B$5:$B$8,C75))</x:f>
        <x:v>1</x:v>
      </x:c>
      <x:c r="E75" s="26" t="n">
        <x:f>IF(A75="","",INDEX('Veri Kumesi'!$C$5:$C$8,C75))</x:f>
        <x:v>-1</x:v>
      </x:c>
      <x:c r="F75" s="26" t="n">
        <x:f>IF(A75="","",INDEX('Veri Kumesi'!$D$5:$D$8,C75))</x:f>
        <x:v>-1</x:v>
      </x:c>
      <x:c r="G75" s="26" t="n">
        <x:f>IF(A75="","",P74)</x:f>
        <x:v>0.5293175899777345</x:v>
      </x:c>
      <x:c r="H75" s="26" t="n">
        <x:f>IF(A75="","",Q74)</x:f>
        <x:v>0.4411007068002722</x:v>
      </x:c>
      <x:c r="I75" s="26" t="n">
        <x:f>IF(A75="","",R74)</x:f>
        <x:v>-0.4998565422526658</x:v>
      </x:c>
      <x:c r="J75" s="26" t="n">
        <x:f>IF(A75="","",G75*D75+H75*E75+I75)</x:f>
        <x:v>-0.4116396590752035</x:v>
      </x:c>
      <x:c r="K75" s="26" t="n">
        <x:f>IF(A75="","",F75-J75)</x:f>
        <x:v>-0.5883603409247965</x:v>
      </x:c>
      <x:c r="L75" s="26" t="n">
        <x:f>IF(A75="","",K75^2)</x:f>
        <x:v>0.34616789077314275</x:v>
      </x:c>
      <x:c r="M75" s="26" t="n">
        <x:f>IF(A75="","",Parametreler!$B$5*K75*D75)</x:f>
        <x:v>-0.05883603409247965</x:v>
      </x:c>
      <x:c r="N75" s="26" t="n">
        <x:f>IF(A75="","",Parametreler!$B$5*K75*E75)</x:f>
        <x:v>0.05883603409247965</x:v>
      </x:c>
      <x:c r="O75" s="26" t="n">
        <x:f>IF(A75="","",Parametreler!$B$5*K75)</x:f>
        <x:v>-0.05883603409247965</x:v>
      </x:c>
      <x:c r="P75" s="26" t="n">
        <x:f>IF(A75="","",G75+M75)</x:f>
        <x:v>0.4704815558852548</x:v>
      </x:c>
      <x:c r="Q75" s="26" t="n">
        <x:f>IF(A75="","",H75+N75)</x:f>
        <x:v>0.49993674089275186</x:v>
      </x:c>
      <x:c r="R75" s="26" t="n">
        <x:f>IF(A75="","",I75+O75)</x:f>
        <x:v>-0.5586925763451455</x:v>
      </x:c>
    </x:row>
    <x:row r="76" ht="20" customHeight="1">
      <x:c r="A76" t="n">
        <x:f>IF(72&lt;=Parametreler!$B$9*Parametreler!$B$10,72,"")</x:f>
        <x:v>72</x:v>
      </x:c>
      <x:c r="B76" t="n">
        <x:f>IF(A76="","",INT((A76-1)/Parametreler!$B$10)+1)</x:f>
        <x:v>18</x:v>
      </x:c>
      <x:c r="C76" t="n">
        <x:f>IF(A76="","",MOD(A76-1,Parametreler!$B$10)+1)</x:f>
        <x:v>4</x:v>
      </x:c>
      <x:c r="D76" s="26" t="n">
        <x:f>IF(A76="","",INDEX('Veri Kumesi'!$B$5:$B$8,C76))</x:f>
        <x:v>1</x:v>
      </x:c>
      <x:c r="E76" s="26" t="n">
        <x:f>IF(A76="","",INDEX('Veri Kumesi'!$C$5:$C$8,C76))</x:f>
        <x:v>1</x:v>
      </x:c>
      <x:c r="F76" s="26" t="n">
        <x:f>IF(A76="","",INDEX('Veri Kumesi'!$D$5:$D$8,C76))</x:f>
        <x:v>1</x:v>
      </x:c>
      <x:c r="G76" s="26" t="n">
        <x:f>IF(A76="","",P75)</x:f>
        <x:v>0.4704815558852548</x:v>
      </x:c>
      <x:c r="H76" s="26" t="n">
        <x:f>IF(A76="","",Q75)</x:f>
        <x:v>0.49993674089275186</x:v>
      </x:c>
      <x:c r="I76" s="26" t="n">
        <x:f>IF(A76="","",R75)</x:f>
        <x:v>-0.5586925763451455</x:v>
      </x:c>
      <x:c r="J76" s="26" t="n">
        <x:f>IF(A76="","",G76*D76+H76*E76+I76)</x:f>
        <x:v>0.41172572043286115</x:v>
      </x:c>
      <x:c r="K76" s="26" t="n">
        <x:f>IF(A76="","",F76-J76)</x:f>
        <x:v>0.5882742795671388</x:v>
      </x:c>
      <x:c r="L76" s="26" t="n">
        <x:f>IF(A76="","",K76^2)</x:f>
        <x:v>0.34606662800023624</x:v>
      </x:c>
      <x:c r="M76" s="26" t="n">
        <x:f>IF(A76="","",Parametreler!$B$5*K76*D76)</x:f>
        <x:v>0.05882742795671389</x:v>
      </x:c>
      <x:c r="N76" s="26" t="n">
        <x:f>IF(A76="","",Parametreler!$B$5*K76*E76)</x:f>
        <x:v>0.05882742795671389</x:v>
      </x:c>
      <x:c r="O76" s="26" t="n">
        <x:f>IF(A76="","",Parametreler!$B$5*K76)</x:f>
        <x:v>0.05882742795671389</x:v>
      </x:c>
      <x:c r="P76" s="26" t="n">
        <x:f>IF(A76="","",G76+M76)</x:f>
        <x:v>0.5293089838419687</x:v>
      </x:c>
      <x:c r="Q76" s="26" t="n">
        <x:f>IF(A76="","",H76+N76)</x:f>
        <x:v>0.5587641688494658</x:v>
      </x:c>
      <x:c r="R76" s="26" t="n">
        <x:f>IF(A76="","",I76+O76)</x:f>
        <x:v>-0.49986514838843155</x:v>
      </x:c>
    </x:row>
    <x:row r="77" ht="20" customHeight="1">
      <x:c r="A77" t="n">
        <x:f>IF(73&lt;=Parametreler!$B$9*Parametreler!$B$10,73,"")</x:f>
        <x:v>73</x:v>
      </x:c>
      <x:c r="B77" t="n">
        <x:f>IF(A77="","",INT((A77-1)/Parametreler!$B$10)+1)</x:f>
        <x:v>19</x:v>
      </x:c>
      <x:c r="C77" t="n">
        <x:f>IF(A77="","",MOD(A77-1,Parametreler!$B$10)+1)</x:f>
        <x:v>1</x:v>
      </x:c>
      <x:c r="D77" s="26" t="n">
        <x:f>IF(A77="","",INDEX('Veri Kumesi'!$B$5:$B$8,C77))</x:f>
        <x:v>-1</x:v>
      </x:c>
      <x:c r="E77" s="26" t="n">
        <x:f>IF(A77="","",INDEX('Veri Kumesi'!$C$5:$C$8,C77))</x:f>
        <x:v>-1</x:v>
      </x:c>
      <x:c r="F77" s="26" t="n">
        <x:f>IF(A77="","",INDEX('Veri Kumesi'!$D$5:$D$8,C77))</x:f>
        <x:v>-1</x:v>
      </x:c>
      <x:c r="G77" s="26" t="n">
        <x:f>IF(A77="","",P76)</x:f>
        <x:v>0.5293089838419687</x:v>
      </x:c>
      <x:c r="H77" s="26" t="n">
        <x:f>IF(A77="","",Q76)</x:f>
        <x:v>0.5587641688494658</x:v>
      </x:c>
      <x:c r="I77" s="26" t="n">
        <x:f>IF(A77="","",R76)</x:f>
        <x:v>-0.49986514838843155</x:v>
      </x:c>
      <x:c r="J77" s="26" t="n">
        <x:f>IF(A77="","",G77*D77+H77*E77+I77)</x:f>
        <x:v>-1.587938301079866</x:v>
      </x:c>
      <x:c r="K77" s="26" t="n">
        <x:f>IF(A77="","",F77-J77)</x:f>
        <x:v>0.587938301079866</x:v>
      </x:c>
      <x:c r="L77" s="26" t="n">
        <x:f>IF(A77="","",K77^2)</x:f>
        <x:v>0.34567144587667914</x:v>
      </x:c>
      <x:c r="M77" s="26" t="n">
        <x:f>IF(A77="","",Parametreler!$B$5*K77*D77)</x:f>
        <x:v>-0.058793830107986604</x:v>
      </x:c>
      <x:c r="N77" s="26" t="n">
        <x:f>IF(A77="","",Parametreler!$B$5*K77*E77)</x:f>
        <x:v>-0.058793830107986604</x:v>
      </x:c>
      <x:c r="O77" s="26" t="n">
        <x:f>IF(A77="","",Parametreler!$B$5*K77)</x:f>
        <x:v>0.058793830107986604</x:v>
      </x:c>
      <x:c r="P77" s="26" t="n">
        <x:f>IF(A77="","",G77+M77)</x:f>
        <x:v>0.47051515373398206</x:v>
      </x:c>
      <x:c r="Q77" s="26" t="n">
        <x:f>IF(A77="","",H77+N77)</x:f>
        <x:v>0.49997033874147917</x:v>
      </x:c>
      <x:c r="R77" s="26" t="n">
        <x:f>IF(A77="","",I77+O77)</x:f>
        <x:v>-0.44107131828044494</x:v>
      </x:c>
    </x:row>
    <x:row r="78" ht="20" customHeight="1">
      <x:c r="A78" t="n">
        <x:f>IF(74&lt;=Parametreler!$B$9*Parametreler!$B$10,74,"")</x:f>
        <x:v>74</x:v>
      </x:c>
      <x:c r="B78" t="n">
        <x:f>IF(A78="","",INT((A78-1)/Parametreler!$B$10)+1)</x:f>
        <x:v>19</x:v>
      </x:c>
      <x:c r="C78" t="n">
        <x:f>IF(A78="","",MOD(A78-1,Parametreler!$B$10)+1)</x:f>
        <x:v>2</x:v>
      </x:c>
      <x:c r="D78" s="26" t="n">
        <x:f>IF(A78="","",INDEX('Veri Kumesi'!$B$5:$B$8,C78))</x:f>
        <x:v>-1</x:v>
      </x:c>
      <x:c r="E78" s="26" t="n">
        <x:f>IF(A78="","",INDEX('Veri Kumesi'!$C$5:$C$8,C78))</x:f>
        <x:v>1</x:v>
      </x:c>
      <x:c r="F78" s="26" t="n">
        <x:f>IF(A78="","",INDEX('Veri Kumesi'!$D$5:$D$8,C78))</x:f>
        <x:v>-1</x:v>
      </x:c>
      <x:c r="G78" s="26" t="n">
        <x:f>IF(A78="","",P77)</x:f>
        <x:v>0.47051515373398206</x:v>
      </x:c>
      <x:c r="H78" s="26" t="n">
        <x:f>IF(A78="","",Q77)</x:f>
        <x:v>0.49997033874147917</x:v>
      </x:c>
      <x:c r="I78" s="26" t="n">
        <x:f>IF(A78="","",R77)</x:f>
        <x:v>-0.44107131828044494</x:v>
      </x:c>
      <x:c r="J78" s="26" t="n">
        <x:f>IF(A78="","",G78*D78+H78*E78+I78)</x:f>
        <x:v>-0.4116161332729478</x:v>
      </x:c>
      <x:c r="K78" s="26" t="n">
        <x:f>IF(A78="","",F78-J78)</x:f>
        <x:v>-0.5883838667270522</x:v>
      </x:c>
      <x:c r="L78" s="26" t="n">
        <x:f>IF(A78="","",K78^2)</x:f>
        <x:v>0.34619557462467754</x:v>
      </x:c>
      <x:c r="M78" s="26" t="n">
        <x:f>IF(A78="","",Parametreler!$B$5*K78*D78)</x:f>
        <x:v>0.058838386672705224</x:v>
      </x:c>
      <x:c r="N78" s="26" t="n">
        <x:f>IF(A78="","",Parametreler!$B$5*K78*E78)</x:f>
        <x:v>-0.058838386672705224</x:v>
      </x:c>
      <x:c r="O78" s="26" t="n">
        <x:f>IF(A78="","",Parametreler!$B$5*K78)</x:f>
        <x:v>-0.058838386672705224</x:v>
      </x:c>
      <x:c r="P78" s="26" t="n">
        <x:f>IF(A78="","",G78+M78)</x:f>
        <x:v>0.5293535404066873</x:v>
      </x:c>
      <x:c r="Q78" s="26" t="n">
        <x:f>IF(A78="","",H78+N78)</x:f>
        <x:v>0.4411319520687739</x:v>
      </x:c>
      <x:c r="R78" s="26" t="n">
        <x:f>IF(A78="","",I78+O78)</x:f>
        <x:v>-0.4999097049531502</x:v>
      </x:c>
    </x:row>
    <x:row r="79" ht="20" customHeight="1">
      <x:c r="A79" t="n">
        <x:f>IF(75&lt;=Parametreler!$B$9*Parametreler!$B$10,75,"")</x:f>
        <x:v>75</x:v>
      </x:c>
      <x:c r="B79" t="n">
        <x:f>IF(A79="","",INT((A79-1)/Parametreler!$B$10)+1)</x:f>
        <x:v>19</x:v>
      </x:c>
      <x:c r="C79" t="n">
        <x:f>IF(A79="","",MOD(A79-1,Parametreler!$B$10)+1)</x:f>
        <x:v>3</x:v>
      </x:c>
      <x:c r="D79" s="26" t="n">
        <x:f>IF(A79="","",INDEX('Veri Kumesi'!$B$5:$B$8,C79))</x:f>
        <x:v>1</x:v>
      </x:c>
      <x:c r="E79" s="26" t="n">
        <x:f>IF(A79="","",INDEX('Veri Kumesi'!$C$5:$C$8,C79))</x:f>
        <x:v>-1</x:v>
      </x:c>
      <x:c r="F79" s="26" t="n">
        <x:f>IF(A79="","",INDEX('Veri Kumesi'!$D$5:$D$8,C79))</x:f>
        <x:v>-1</x:v>
      </x:c>
      <x:c r="G79" s="26" t="n">
        <x:f>IF(A79="","",P78)</x:f>
        <x:v>0.5293535404066873</x:v>
      </x:c>
      <x:c r="H79" s="26" t="n">
        <x:f>IF(A79="","",Q78)</x:f>
        <x:v>0.4411319520687739</x:v>
      </x:c>
      <x:c r="I79" s="26" t="n">
        <x:f>IF(A79="","",R78)</x:f>
        <x:v>-0.4999097049531502</x:v>
      </x:c>
      <x:c r="J79" s="26" t="n">
        <x:f>IF(A79="","",G79*D79+H79*E79+I79)</x:f>
        <x:v>-0.41168811661523685</x:v>
      </x:c>
      <x:c r="K79" s="26" t="n">
        <x:f>IF(A79="","",F79-J79)</x:f>
        <x:v>-0.5883118833847631</x:v>
      </x:c>
      <x:c r="L79" s="26" t="n">
        <x:f>IF(A79="","",K79^2)</x:f>
        <x:v>0.34611087213172714</x:v>
      </x:c>
      <x:c r="M79" s="26" t="n">
        <x:f>IF(A79="","",Parametreler!$B$5*K79*D79)</x:f>
        <x:v>-0.058831188338476316</x:v>
      </x:c>
      <x:c r="N79" s="26" t="n">
        <x:f>IF(A79="","",Parametreler!$B$5*K79*E79)</x:f>
        <x:v>0.058831188338476316</x:v>
      </x:c>
      <x:c r="O79" s="26" t="n">
        <x:f>IF(A79="","",Parametreler!$B$5*K79)</x:f>
        <x:v>-0.058831188338476316</x:v>
      </x:c>
      <x:c r="P79" s="26" t="n">
        <x:f>IF(A79="","",G79+M79)</x:f>
        <x:v>0.4705223520682109</x:v>
      </x:c>
      <x:c r="Q79" s="26" t="n">
        <x:f>IF(A79="","",H79+N79)</x:f>
        <x:v>0.49996314040725026</x:v>
      </x:c>
      <x:c r="R79" s="26" t="n">
        <x:f>IF(A79="","",I79+O79)</x:f>
        <x:v>-0.5587408932916265</x:v>
      </x:c>
    </x:row>
    <x:row r="80" ht="20" customHeight="1">
      <x:c r="A80" t="n">
        <x:f>IF(76&lt;=Parametreler!$B$9*Parametreler!$B$10,76,"")</x:f>
        <x:v>76</x:v>
      </x:c>
      <x:c r="B80" t="n">
        <x:f>IF(A80="","",INT((A80-1)/Parametreler!$B$10)+1)</x:f>
        <x:v>19</x:v>
      </x:c>
      <x:c r="C80" t="n">
        <x:f>IF(A80="","",MOD(A80-1,Parametreler!$B$10)+1)</x:f>
        <x:v>4</x:v>
      </x:c>
      <x:c r="D80" s="26" t="n">
        <x:f>IF(A80="","",INDEX('Veri Kumesi'!$B$5:$B$8,C80))</x:f>
        <x:v>1</x:v>
      </x:c>
      <x:c r="E80" s="26" t="n">
        <x:f>IF(A80="","",INDEX('Veri Kumesi'!$C$5:$C$8,C80))</x:f>
        <x:v>1</x:v>
      </x:c>
      <x:c r="F80" s="26" t="n">
        <x:f>IF(A80="","",INDEX('Veri Kumesi'!$D$5:$D$8,C80))</x:f>
        <x:v>1</x:v>
      </x:c>
      <x:c r="G80" s="26" t="n">
        <x:f>IF(A80="","",P79)</x:f>
        <x:v>0.4705223520682109</x:v>
      </x:c>
      <x:c r="H80" s="26" t="n">
        <x:f>IF(A80="","",Q79)</x:f>
        <x:v>0.49996314040725026</x:v>
      </x:c>
      <x:c r="I80" s="26" t="n">
        <x:f>IF(A80="","",R79)</x:f>
        <x:v>-0.5587408932916265</x:v>
      </x:c>
      <x:c r="J80" s="26" t="n">
        <x:f>IF(A80="","",G80*D80+H80*E80+I80)</x:f>
        <x:v>0.41174459918383466</x:v>
      </x:c>
      <x:c r="K80" s="26" t="n">
        <x:f>IF(A80="","",F80-J80)</x:f>
        <x:v>0.5882554008161653</x:v>
      </x:c>
      <x:c r="L80" s="26" t="n">
        <x:f>IF(A80="","",K80^2)</x:f>
        <x:v>0.34604441658938734</x:v>
      </x:c>
      <x:c r="M80" s="26" t="n">
        <x:f>IF(A80="","",Parametreler!$B$5*K80*D80)</x:f>
        <x:v>0.058825540081616536</x:v>
      </x:c>
      <x:c r="N80" s="26" t="n">
        <x:f>IF(A80="","",Parametreler!$B$5*K80*E80)</x:f>
        <x:v>0.058825540081616536</x:v>
      </x:c>
      <x:c r="O80" s="26" t="n">
        <x:f>IF(A80="","",Parametreler!$B$5*K80)</x:f>
        <x:v>0.058825540081616536</x:v>
      </x:c>
      <x:c r="P80" s="26" t="n">
        <x:f>IF(A80="","",G80+M80)</x:f>
        <x:v>0.5293478921498275</x:v>
      </x:c>
      <x:c r="Q80" s="26" t="n">
        <x:f>IF(A80="","",H80+N80)</x:f>
        <x:v>0.5587886804888668</x:v>
      </x:c>
      <x:c r="R80" s="26" t="n">
        <x:f>IF(A80="","",I80+O80)</x:f>
        <x:v>-0.4999153532100099</x:v>
      </x:c>
    </x:row>
    <x:row r="81" ht="20" customHeight="1">
      <x:c r="A81" t="n">
        <x:f>IF(77&lt;=Parametreler!$B$9*Parametreler!$B$10,77,"")</x:f>
        <x:v>77</x:v>
      </x:c>
      <x:c r="B81" t="n">
        <x:f>IF(A81="","",INT((A81-1)/Parametreler!$B$10)+1)</x:f>
        <x:v>20</x:v>
      </x:c>
      <x:c r="C81" t="n">
        <x:f>IF(A81="","",MOD(A81-1,Parametreler!$B$10)+1)</x:f>
        <x:v>1</x:v>
      </x:c>
      <x:c r="D81" s="26" t="n">
        <x:f>IF(A81="","",INDEX('Veri Kumesi'!$B$5:$B$8,C81))</x:f>
        <x:v>-1</x:v>
      </x:c>
      <x:c r="E81" s="26" t="n">
        <x:f>IF(A81="","",INDEX('Veri Kumesi'!$C$5:$C$8,C81))</x:f>
        <x:v>-1</x:v>
      </x:c>
      <x:c r="F81" s="26" t="n">
        <x:f>IF(A81="","",INDEX('Veri Kumesi'!$D$5:$D$8,C81))</x:f>
        <x:v>-1</x:v>
      </x:c>
      <x:c r="G81" s="26" t="n">
        <x:f>IF(A81="","",P80)</x:f>
        <x:v>0.5293478921498275</x:v>
      </x:c>
      <x:c r="H81" s="26" t="n">
        <x:f>IF(A81="","",Q80)</x:f>
        <x:v>0.5587886804888668</x:v>
      </x:c>
      <x:c r="I81" s="26" t="n">
        <x:f>IF(A81="","",R80)</x:f>
        <x:v>-0.4999153532100099</x:v>
      </x:c>
      <x:c r="J81" s="26" t="n">
        <x:f>IF(A81="","",G81*D81+H81*E81+I81)</x:f>
        <x:v>-1.588051925848704</x:v>
      </x:c>
      <x:c r="K81" s="26" t="n">
        <x:f>IF(A81="","",F81-J81)</x:f>
        <x:v>0.588051925848704</x:v>
      </x:c>
      <x:c r="L81" s="26" t="n">
        <x:f>IF(A81="","",K81^2)</x:f>
        <x:v>0.3458050674943697</x:v>
      </x:c>
      <x:c r="M81" s="26" t="n">
        <x:f>IF(A81="","",Parametreler!$B$5*K81*D81)</x:f>
        <x:v>-0.05880519258487041</x:v>
      </x:c>
      <x:c r="N81" s="26" t="n">
        <x:f>IF(A81="","",Parametreler!$B$5*K81*E81)</x:f>
        <x:v>-0.05880519258487041</x:v>
      </x:c>
      <x:c r="O81" s="26" t="n">
        <x:f>IF(A81="","",Parametreler!$B$5*K81)</x:f>
        <x:v>0.05880519258487041</x:v>
      </x:c>
      <x:c r="P81" s="26" t="n">
        <x:f>IF(A81="","",G81+M81)</x:f>
        <x:v>0.4705426995649571</x:v>
      </x:c>
      <x:c r="Q81" s="26" t="n">
        <x:f>IF(A81="","",H81+N81)</x:f>
        <x:v>0.4999834879039964</x:v>
      </x:c>
      <x:c r="R81" s="26" t="n">
        <x:f>IF(A81="","",I81+O81)</x:f>
        <x:v>-0.4411101606251395</x:v>
      </x:c>
    </x:row>
    <x:row r="82" ht="20" customHeight="1">
      <x:c r="A82" t="n">
        <x:f>IF(78&lt;=Parametreler!$B$9*Parametreler!$B$10,78,"")</x:f>
        <x:v>78</x:v>
      </x:c>
      <x:c r="B82" t="n">
        <x:f>IF(A82="","",INT((A82-1)/Parametreler!$B$10)+1)</x:f>
        <x:v>20</x:v>
      </x:c>
      <x:c r="C82" t="n">
        <x:f>IF(A82="","",MOD(A82-1,Parametreler!$B$10)+1)</x:f>
        <x:v>2</x:v>
      </x:c>
      <x:c r="D82" s="26" t="n">
        <x:f>IF(A82="","",INDEX('Veri Kumesi'!$B$5:$B$8,C82))</x:f>
        <x:v>-1</x:v>
      </x:c>
      <x:c r="E82" s="26" t="n">
        <x:f>IF(A82="","",INDEX('Veri Kumesi'!$C$5:$C$8,C82))</x:f>
        <x:v>1</x:v>
      </x:c>
      <x:c r="F82" s="26" t="n">
        <x:f>IF(A82="","",INDEX('Veri Kumesi'!$D$5:$D$8,C82))</x:f>
        <x:v>-1</x:v>
      </x:c>
      <x:c r="G82" s="26" t="n">
        <x:f>IF(A82="","",P81)</x:f>
        <x:v>0.4705426995649571</x:v>
      </x:c>
      <x:c r="H82" s="26" t="n">
        <x:f>IF(A82="","",Q81)</x:f>
        <x:v>0.4999834879039964</x:v>
      </x:c>
      <x:c r="I82" s="26" t="n">
        <x:f>IF(A82="","",R81)</x:f>
        <x:v>-0.4411101606251395</x:v>
      </x:c>
      <x:c r="J82" s="26" t="n">
        <x:f>IF(A82="","",G82*D82+H82*E82+I82)</x:f>
        <x:v>-0.41166937228610023</x:v>
      </x:c>
      <x:c r="K82" s="26" t="n">
        <x:f>IF(A82="","",F82-J82)</x:f>
        <x:v>-0.5883306277138998</x:v>
      </x:c>
      <x:c r="L82" s="26" t="n">
        <x:f>IF(A82="","",K82^2)</x:f>
        <x:v>0.3461329275062313</x:v>
      </x:c>
      <x:c r="M82" s="26" t="n">
        <x:f>IF(A82="","",Parametreler!$B$5*K82*D82)</x:f>
        <x:v>0.05883306277138998</x:v>
      </x:c>
      <x:c r="N82" s="26" t="n">
        <x:f>IF(A82="","",Parametreler!$B$5*K82*E82)</x:f>
        <x:v>-0.05883306277138998</x:v>
      </x:c>
      <x:c r="O82" s="26" t="n">
        <x:f>IF(A82="","",Parametreler!$B$5*K82)</x:f>
        <x:v>-0.05883306277138998</x:v>
      </x:c>
      <x:c r="P82" s="26" t="n">
        <x:f>IF(A82="","",G82+M82)</x:f>
        <x:v>0.5293757623363471</x:v>
      </x:c>
      <x:c r="Q82" s="26" t="n">
        <x:f>IF(A82="","",H82+N82)</x:f>
        <x:v>0.4411504251326064</x:v>
      </x:c>
      <x:c r="R82" s="26" t="n">
        <x:f>IF(A82="","",I82+O82)</x:f>
        <x:v>-0.4999432233965295</x:v>
      </x:c>
    </x:row>
    <x:row r="83" ht="20" customHeight="1">
      <x:c r="A83" t="n">
        <x:f>IF(79&lt;=Parametreler!$B$9*Parametreler!$B$10,79,"")</x:f>
        <x:v>79</x:v>
      </x:c>
      <x:c r="B83" t="n">
        <x:f>IF(A83="","",INT((A83-1)/Parametreler!$B$10)+1)</x:f>
        <x:v>20</x:v>
      </x:c>
      <x:c r="C83" t="n">
        <x:f>IF(A83="","",MOD(A83-1,Parametreler!$B$10)+1)</x:f>
        <x:v>3</x:v>
      </x:c>
      <x:c r="D83" s="26" t="n">
        <x:f>IF(A83="","",INDEX('Veri Kumesi'!$B$5:$B$8,C83))</x:f>
        <x:v>1</x:v>
      </x:c>
      <x:c r="E83" s="26" t="n">
        <x:f>IF(A83="","",INDEX('Veri Kumesi'!$C$5:$C$8,C83))</x:f>
        <x:v>-1</x:v>
      </x:c>
      <x:c r="F83" s="26" t="n">
        <x:f>IF(A83="","",INDEX('Veri Kumesi'!$D$5:$D$8,C83))</x:f>
        <x:v>-1</x:v>
      </x:c>
      <x:c r="G83" s="26" t="n">
        <x:f>IF(A83="","",P82)</x:f>
        <x:v>0.5293757623363471</x:v>
      </x:c>
      <x:c r="H83" s="26" t="n">
        <x:f>IF(A83="","",Q82)</x:f>
        <x:v>0.4411504251326064</x:v>
      </x:c>
      <x:c r="I83" s="26" t="n">
        <x:f>IF(A83="","",R82)</x:f>
        <x:v>-0.4999432233965295</x:v>
      </x:c>
      <x:c r="J83" s="26" t="n">
        <x:f>IF(A83="","",G83*D83+H83*E83+I83)</x:f>
        <x:v>-0.4117178861927888</x:v>
      </x:c>
      <x:c r="K83" s="26" t="n">
        <x:f>IF(A83="","",F83-J83)</x:f>
        <x:v>-0.5882821138072112</x:v>
      </x:c>
      <x:c r="L83" s="26" t="n">
        <x:f>IF(A83="","",K83^2)</x:f>
        <x:v>0.3460758454254806</x:v>
      </x:c>
      <x:c r="M83" s="26" t="n">
        <x:f>IF(A83="","",Parametreler!$B$5*K83*D83)</x:f>
        <x:v>-0.05882821138072112</x:v>
      </x:c>
      <x:c r="N83" s="26" t="n">
        <x:f>IF(A83="","",Parametreler!$B$5*K83*E83)</x:f>
        <x:v>0.05882821138072112</x:v>
      </x:c>
      <x:c r="O83" s="26" t="n">
        <x:f>IF(A83="","",Parametreler!$B$5*K83)</x:f>
        <x:v>-0.05882821138072112</x:v>
      </x:c>
      <x:c r="P83" s="26" t="n">
        <x:f>IF(A83="","",G83+M83)</x:f>
        <x:v>0.47054755095562595</x:v>
      </x:c>
      <x:c r="Q83" s="26" t="n">
        <x:f>IF(A83="","",H83+N83)</x:f>
        <x:v>0.4999786365133275</x:v>
      </x:c>
      <x:c r="R83" s="26" t="n">
        <x:f>IF(A83="","",I83+O83)</x:f>
        <x:v>-0.5587714347772507</x:v>
      </x:c>
    </x:row>
    <x:row r="84" ht="20" customHeight="1">
      <x:c r="A84" t="n">
        <x:f>IF(80&lt;=Parametreler!$B$9*Parametreler!$B$10,80,"")</x:f>
        <x:v>80</x:v>
      </x:c>
      <x:c r="B84" t="n">
        <x:f>IF(A84="","",INT((A84-1)/Parametreler!$B$10)+1)</x:f>
        <x:v>20</x:v>
      </x:c>
      <x:c r="C84" t="n">
        <x:f>IF(A84="","",MOD(A84-1,Parametreler!$B$10)+1)</x:f>
        <x:v>4</x:v>
      </x:c>
      <x:c r="D84" s="26" t="n">
        <x:f>IF(A84="","",INDEX('Veri Kumesi'!$B$5:$B$8,C84))</x:f>
        <x:v>1</x:v>
      </x:c>
      <x:c r="E84" s="26" t="n">
        <x:f>IF(A84="","",INDEX('Veri Kumesi'!$C$5:$C$8,C84))</x:f>
        <x:v>1</x:v>
      </x:c>
      <x:c r="F84" s="26" t="n">
        <x:f>IF(A84="","",INDEX('Veri Kumesi'!$D$5:$D$8,C84))</x:f>
        <x:v>1</x:v>
      </x:c>
      <x:c r="G84" s="26" t="n">
        <x:f>IF(A84="","",P83)</x:f>
        <x:v>0.47054755095562595</x:v>
      </x:c>
      <x:c r="H84" s="26" t="n">
        <x:f>IF(A84="","",Q83)</x:f>
        <x:v>0.4999786365133275</x:v>
      </x:c>
      <x:c r="I84" s="26" t="n">
        <x:f>IF(A84="","",R83)</x:f>
        <x:v>-0.5587714347772507</x:v>
      </x:c>
      <x:c r="J84" s="26" t="n">
        <x:f>IF(A84="","",G84*D84+H84*E84+I84)</x:f>
        <x:v>0.4117547526917028</x:v>
      </x:c>
      <x:c r="K84" s="26" t="n">
        <x:f>IF(A84="","",F84-J84)</x:f>
        <x:v>0.5882452473082972</x:v>
      </x:c>
      <x:c r="L84" s="26" t="n">
        <x:f>IF(A84="","",K84^2)</x:f>
        <x:v>0.3460324709807997</x:v>
      </x:c>
      <x:c r="M84" s="26" t="n">
        <x:f>IF(A84="","",Parametreler!$B$5*K84*D84)</x:f>
        <x:v>0.05882452473082972</x:v>
      </x:c>
      <x:c r="N84" s="26" t="n">
        <x:f>IF(A84="","",Parametreler!$B$5*K84*E84)</x:f>
        <x:v>0.05882452473082972</x:v>
      </x:c>
      <x:c r="O84" s="26" t="n">
        <x:f>IF(A84="","",Parametreler!$B$5*K84)</x:f>
        <x:v>0.05882452473082972</x:v>
      </x:c>
      <x:c r="P84" s="26" t="n">
        <x:f>IF(A84="","",G84+M84)</x:f>
        <x:v>0.5293720756864557</x:v>
      </x:c>
      <x:c r="Q84" s="26" t="n">
        <x:f>IF(A84="","",H84+N84)</x:f>
        <x:v>0.5588031612441573</x:v>
      </x:c>
      <x:c r="R84" s="26" t="n">
        <x:f>IF(A84="","",I84+O84)</x:f>
        <x:v>-0.49994691004642094</x:v>
      </x:c>
    </x:row>
    <x:row r="85" ht="20" customHeight="1">
      <x:c r="A85" t="str">
        <x:f>IF(81&lt;=Parametreler!$B$9*Parametreler!$B$10,81,"")</x:f>
      </x:c>
      <x:c r="B85" t="str">
        <x:f>IF(A85="","",INT((A85-1)/Parametreler!$B$10)+1)</x:f>
      </x:c>
      <x:c r="C85" t="str">
        <x:f>IF(A85="","",MOD(A85-1,Parametreler!$B$10)+1)</x:f>
      </x:c>
      <x:c r="D85" s="26" t="str">
        <x:f>IF(A85="","",INDEX('Veri Kumesi'!$B$5:$B$8,C85))</x:f>
      </x:c>
      <x:c r="E85" s="26" t="str">
        <x:f>IF(A85="","",INDEX('Veri Kumesi'!$C$5:$C$8,C85))</x:f>
      </x:c>
      <x:c r="F85" s="26" t="str">
        <x:f>IF(A85="","",INDEX('Veri Kumesi'!$D$5:$D$8,C85))</x:f>
      </x:c>
      <x:c r="G85" s="26" t="str">
        <x:f>IF(A85="","",P84)</x:f>
      </x:c>
      <x:c r="H85" s="26" t="str">
        <x:f>IF(A85="","",Q84)</x:f>
      </x:c>
      <x:c r="I85" s="26" t="str">
        <x:f>IF(A85="","",R84)</x:f>
      </x:c>
      <x:c r="J85" s="26" t="str">
        <x:f>IF(A85="","",G85*D85+H85*E85+I85)</x:f>
      </x:c>
      <x:c r="K85" s="26" t="str">
        <x:f>IF(A85="","",F85-J85)</x:f>
      </x:c>
      <x:c r="L85" s="26" t="str">
        <x:f>IF(A85="","",K85^2)</x:f>
      </x:c>
      <x:c r="M85" s="26" t="str">
        <x:f>IF(A85="","",Parametreler!$B$5*K85*D85)</x:f>
      </x:c>
      <x:c r="N85" s="26" t="str">
        <x:f>IF(A85="","",Parametreler!$B$5*K85*E85)</x:f>
      </x:c>
      <x:c r="O85" s="26" t="str">
        <x:f>IF(A85="","",Parametreler!$B$5*K85)</x:f>
      </x:c>
      <x:c r="P85" s="26" t="str">
        <x:f>IF(A85="","",G85+M85)</x:f>
      </x:c>
      <x:c r="Q85" s="26" t="str">
        <x:f>IF(A85="","",H85+N85)</x:f>
      </x:c>
      <x:c r="R85" s="26" t="str">
        <x:f>IF(A85="","",I85+O85)</x:f>
      </x:c>
    </x:row>
    <x:row r="86" ht="20" customHeight="1">
      <x:c r="A86" t="str">
        <x:f>IF(82&lt;=Parametreler!$B$9*Parametreler!$B$10,82,"")</x:f>
      </x:c>
      <x:c r="B86" t="str">
        <x:f>IF(A86="","",INT((A86-1)/Parametreler!$B$10)+1)</x:f>
      </x:c>
      <x:c r="C86" t="str">
        <x:f>IF(A86="","",MOD(A86-1,Parametreler!$B$10)+1)</x:f>
      </x:c>
      <x:c r="D86" s="26" t="str">
        <x:f>IF(A86="","",INDEX('Veri Kumesi'!$B$5:$B$8,C86))</x:f>
      </x:c>
      <x:c r="E86" s="26" t="str">
        <x:f>IF(A86="","",INDEX('Veri Kumesi'!$C$5:$C$8,C86))</x:f>
      </x:c>
      <x:c r="F86" s="26" t="str">
        <x:f>IF(A86="","",INDEX('Veri Kumesi'!$D$5:$D$8,C86))</x:f>
      </x:c>
      <x:c r="G86" s="26" t="str">
        <x:f>IF(A86="","",P85)</x:f>
      </x:c>
      <x:c r="H86" s="26" t="str">
        <x:f>IF(A86="","",Q85)</x:f>
      </x:c>
      <x:c r="I86" s="26" t="str">
        <x:f>IF(A86="","",R85)</x:f>
      </x:c>
      <x:c r="J86" s="26" t="str">
        <x:f>IF(A86="","",G86*D86+H86*E86+I86)</x:f>
      </x:c>
      <x:c r="K86" s="26" t="str">
        <x:f>IF(A86="","",F86-J86)</x:f>
      </x:c>
      <x:c r="L86" s="26" t="str">
        <x:f>IF(A86="","",K86^2)</x:f>
      </x:c>
      <x:c r="M86" s="26" t="str">
        <x:f>IF(A86="","",Parametreler!$B$5*K86*D86)</x:f>
      </x:c>
      <x:c r="N86" s="26" t="str">
        <x:f>IF(A86="","",Parametreler!$B$5*K86*E86)</x:f>
      </x:c>
      <x:c r="O86" s="26" t="str">
        <x:f>IF(A86="","",Parametreler!$B$5*K86)</x:f>
      </x:c>
      <x:c r="P86" s="26" t="str">
        <x:f>IF(A86="","",G86+M86)</x:f>
      </x:c>
      <x:c r="Q86" s="26" t="str">
        <x:f>IF(A86="","",H86+N86)</x:f>
      </x:c>
      <x:c r="R86" s="26" t="str">
        <x:f>IF(A86="","",I86+O86)</x:f>
      </x:c>
    </x:row>
    <x:row r="87" ht="20" customHeight="1">
      <x:c r="A87" t="str">
        <x:f>IF(83&lt;=Parametreler!$B$9*Parametreler!$B$10,83,"")</x:f>
      </x:c>
      <x:c r="B87" t="str">
        <x:f>IF(A87="","",INT((A87-1)/Parametreler!$B$10)+1)</x:f>
      </x:c>
      <x:c r="C87" t="str">
        <x:f>IF(A87="","",MOD(A87-1,Parametreler!$B$10)+1)</x:f>
      </x:c>
      <x:c r="D87" s="26" t="str">
        <x:f>IF(A87="","",INDEX('Veri Kumesi'!$B$5:$B$8,C87))</x:f>
      </x:c>
      <x:c r="E87" s="26" t="str">
        <x:f>IF(A87="","",INDEX('Veri Kumesi'!$C$5:$C$8,C87))</x:f>
      </x:c>
      <x:c r="F87" s="26" t="str">
        <x:f>IF(A87="","",INDEX('Veri Kumesi'!$D$5:$D$8,C87))</x:f>
      </x:c>
      <x:c r="G87" s="26" t="str">
        <x:f>IF(A87="","",P86)</x:f>
      </x:c>
      <x:c r="H87" s="26" t="str">
        <x:f>IF(A87="","",Q86)</x:f>
      </x:c>
      <x:c r="I87" s="26" t="str">
        <x:f>IF(A87="","",R86)</x:f>
      </x:c>
      <x:c r="J87" s="26" t="str">
        <x:f>IF(A87="","",G87*D87+H87*E87+I87)</x:f>
      </x:c>
      <x:c r="K87" s="26" t="str">
        <x:f>IF(A87="","",F87-J87)</x:f>
      </x:c>
      <x:c r="L87" s="26" t="str">
        <x:f>IF(A87="","",K87^2)</x:f>
      </x:c>
      <x:c r="M87" s="26" t="str">
        <x:f>IF(A87="","",Parametreler!$B$5*K87*D87)</x:f>
      </x:c>
      <x:c r="N87" s="26" t="str">
        <x:f>IF(A87="","",Parametreler!$B$5*K87*E87)</x:f>
      </x:c>
      <x:c r="O87" s="26" t="str">
        <x:f>IF(A87="","",Parametreler!$B$5*K87)</x:f>
      </x:c>
      <x:c r="P87" s="26" t="str">
        <x:f>IF(A87="","",G87+M87)</x:f>
      </x:c>
      <x:c r="Q87" s="26" t="str">
        <x:f>IF(A87="","",H87+N87)</x:f>
      </x:c>
      <x:c r="R87" s="26" t="str">
        <x:f>IF(A87="","",I87+O87)</x:f>
      </x:c>
    </x:row>
    <x:row r="88" ht="20" customHeight="1">
      <x:c r="A88" t="str">
        <x:f>IF(84&lt;=Parametreler!$B$9*Parametreler!$B$10,84,"")</x:f>
      </x:c>
      <x:c r="B88" t="str">
        <x:f>IF(A88="","",INT((A88-1)/Parametreler!$B$10)+1)</x:f>
      </x:c>
      <x:c r="C88" t="str">
        <x:f>IF(A88="","",MOD(A88-1,Parametreler!$B$10)+1)</x:f>
      </x:c>
      <x:c r="D88" s="26" t="str">
        <x:f>IF(A88="","",INDEX('Veri Kumesi'!$B$5:$B$8,C88))</x:f>
      </x:c>
      <x:c r="E88" s="26" t="str">
        <x:f>IF(A88="","",INDEX('Veri Kumesi'!$C$5:$C$8,C88))</x:f>
      </x:c>
      <x:c r="F88" s="26" t="str">
        <x:f>IF(A88="","",INDEX('Veri Kumesi'!$D$5:$D$8,C88))</x:f>
      </x:c>
      <x:c r="G88" s="26" t="str">
        <x:f>IF(A88="","",P87)</x:f>
      </x:c>
      <x:c r="H88" s="26" t="str">
        <x:f>IF(A88="","",Q87)</x:f>
      </x:c>
      <x:c r="I88" s="26" t="str">
        <x:f>IF(A88="","",R87)</x:f>
      </x:c>
      <x:c r="J88" s="26" t="str">
        <x:f>IF(A88="","",G88*D88+H88*E88+I88)</x:f>
      </x:c>
      <x:c r="K88" s="26" t="str">
        <x:f>IF(A88="","",F88-J88)</x:f>
      </x:c>
      <x:c r="L88" s="26" t="str">
        <x:f>IF(A88="","",K88^2)</x:f>
      </x:c>
      <x:c r="M88" s="26" t="str">
        <x:f>IF(A88="","",Parametreler!$B$5*K88*D88)</x:f>
      </x:c>
      <x:c r="N88" s="26" t="str">
        <x:f>IF(A88="","",Parametreler!$B$5*K88*E88)</x:f>
      </x:c>
      <x:c r="O88" s="26" t="str">
        <x:f>IF(A88="","",Parametreler!$B$5*K88)</x:f>
      </x:c>
      <x:c r="P88" s="26" t="str">
        <x:f>IF(A88="","",G88+M88)</x:f>
      </x:c>
      <x:c r="Q88" s="26" t="str">
        <x:f>IF(A88="","",H88+N88)</x:f>
      </x:c>
      <x:c r="R88" s="26" t="str">
        <x:f>IF(A88="","",I88+O88)</x:f>
      </x:c>
    </x:row>
    <x:row r="89" ht="20" customHeight="1">
      <x:c r="A89" t="str">
        <x:f>IF(85&lt;=Parametreler!$B$9*Parametreler!$B$10,85,"")</x:f>
      </x:c>
      <x:c r="B89" t="str">
        <x:f>IF(A89="","",INT((A89-1)/Parametreler!$B$10)+1)</x:f>
      </x:c>
      <x:c r="C89" t="str">
        <x:f>IF(A89="","",MOD(A89-1,Parametreler!$B$10)+1)</x:f>
      </x:c>
      <x:c r="D89" s="26" t="str">
        <x:f>IF(A89="","",INDEX('Veri Kumesi'!$B$5:$B$8,C89))</x:f>
      </x:c>
      <x:c r="E89" s="26" t="str">
        <x:f>IF(A89="","",INDEX('Veri Kumesi'!$C$5:$C$8,C89))</x:f>
      </x:c>
      <x:c r="F89" s="26" t="str">
        <x:f>IF(A89="","",INDEX('Veri Kumesi'!$D$5:$D$8,C89))</x:f>
      </x:c>
      <x:c r="G89" s="26" t="str">
        <x:f>IF(A89="","",P88)</x:f>
      </x:c>
      <x:c r="H89" s="26" t="str">
        <x:f>IF(A89="","",Q88)</x:f>
      </x:c>
      <x:c r="I89" s="26" t="str">
        <x:f>IF(A89="","",R88)</x:f>
      </x:c>
      <x:c r="J89" s="26" t="str">
        <x:f>IF(A89="","",G89*D89+H89*E89+I89)</x:f>
      </x:c>
      <x:c r="K89" s="26" t="str">
        <x:f>IF(A89="","",F89-J89)</x:f>
      </x:c>
      <x:c r="L89" s="26" t="str">
        <x:f>IF(A89="","",K89^2)</x:f>
      </x:c>
      <x:c r="M89" s="26" t="str">
        <x:f>IF(A89="","",Parametreler!$B$5*K89*D89)</x:f>
      </x:c>
      <x:c r="N89" s="26" t="str">
        <x:f>IF(A89="","",Parametreler!$B$5*K89*E89)</x:f>
      </x:c>
      <x:c r="O89" s="26" t="str">
        <x:f>IF(A89="","",Parametreler!$B$5*K89)</x:f>
      </x:c>
      <x:c r="P89" s="26" t="str">
        <x:f>IF(A89="","",G89+M89)</x:f>
      </x:c>
      <x:c r="Q89" s="26" t="str">
        <x:f>IF(A89="","",H89+N89)</x:f>
      </x:c>
      <x:c r="R89" s="26" t="str">
        <x:f>IF(A89="","",I89+O89)</x:f>
      </x:c>
    </x:row>
    <x:row r="90" ht="20" customHeight="1">
      <x:c r="A90" t="str">
        <x:f>IF(86&lt;=Parametreler!$B$9*Parametreler!$B$10,86,"")</x:f>
      </x:c>
      <x:c r="B90" t="str">
        <x:f>IF(A90="","",INT((A90-1)/Parametreler!$B$10)+1)</x:f>
      </x:c>
      <x:c r="C90" t="str">
        <x:f>IF(A90="","",MOD(A90-1,Parametreler!$B$10)+1)</x:f>
      </x:c>
      <x:c r="D90" s="26" t="str">
        <x:f>IF(A90="","",INDEX('Veri Kumesi'!$B$5:$B$8,C90))</x:f>
      </x:c>
      <x:c r="E90" s="26" t="str">
        <x:f>IF(A90="","",INDEX('Veri Kumesi'!$C$5:$C$8,C90))</x:f>
      </x:c>
      <x:c r="F90" s="26" t="str">
        <x:f>IF(A90="","",INDEX('Veri Kumesi'!$D$5:$D$8,C90))</x:f>
      </x:c>
      <x:c r="G90" s="26" t="str">
        <x:f>IF(A90="","",P89)</x:f>
      </x:c>
      <x:c r="H90" s="26" t="str">
        <x:f>IF(A90="","",Q89)</x:f>
      </x:c>
      <x:c r="I90" s="26" t="str">
        <x:f>IF(A90="","",R89)</x:f>
      </x:c>
      <x:c r="J90" s="26" t="str">
        <x:f>IF(A90="","",G90*D90+H90*E90+I90)</x:f>
      </x:c>
      <x:c r="K90" s="26" t="str">
        <x:f>IF(A90="","",F90-J90)</x:f>
      </x:c>
      <x:c r="L90" s="26" t="str">
        <x:f>IF(A90="","",K90^2)</x:f>
      </x:c>
      <x:c r="M90" s="26" t="str">
        <x:f>IF(A90="","",Parametreler!$B$5*K90*D90)</x:f>
      </x:c>
      <x:c r="N90" s="26" t="str">
        <x:f>IF(A90="","",Parametreler!$B$5*K90*E90)</x:f>
      </x:c>
      <x:c r="O90" s="26" t="str">
        <x:f>IF(A90="","",Parametreler!$B$5*K90)</x:f>
      </x:c>
      <x:c r="P90" s="26" t="str">
        <x:f>IF(A90="","",G90+M90)</x:f>
      </x:c>
      <x:c r="Q90" s="26" t="str">
        <x:f>IF(A90="","",H90+N90)</x:f>
      </x:c>
      <x:c r="R90" s="26" t="str">
        <x:f>IF(A90="","",I90+O90)</x:f>
      </x:c>
    </x:row>
    <x:row r="91" ht="20" customHeight="1">
      <x:c r="A91" t="str">
        <x:f>IF(87&lt;=Parametreler!$B$9*Parametreler!$B$10,87,"")</x:f>
      </x:c>
      <x:c r="B91" t="str">
        <x:f>IF(A91="","",INT((A91-1)/Parametreler!$B$10)+1)</x:f>
      </x:c>
      <x:c r="C91" t="str">
        <x:f>IF(A91="","",MOD(A91-1,Parametreler!$B$10)+1)</x:f>
      </x:c>
      <x:c r="D91" s="26" t="str">
        <x:f>IF(A91="","",INDEX('Veri Kumesi'!$B$5:$B$8,C91))</x:f>
      </x:c>
      <x:c r="E91" s="26" t="str">
        <x:f>IF(A91="","",INDEX('Veri Kumesi'!$C$5:$C$8,C91))</x:f>
      </x:c>
      <x:c r="F91" s="26" t="str">
        <x:f>IF(A91="","",INDEX('Veri Kumesi'!$D$5:$D$8,C91))</x:f>
      </x:c>
      <x:c r="G91" s="26" t="str">
        <x:f>IF(A91="","",P90)</x:f>
      </x:c>
      <x:c r="H91" s="26" t="str">
        <x:f>IF(A91="","",Q90)</x:f>
      </x:c>
      <x:c r="I91" s="26" t="str">
        <x:f>IF(A91="","",R90)</x:f>
      </x:c>
      <x:c r="J91" s="26" t="str">
        <x:f>IF(A91="","",G91*D91+H91*E91+I91)</x:f>
      </x:c>
      <x:c r="K91" s="26" t="str">
        <x:f>IF(A91="","",F91-J91)</x:f>
      </x:c>
      <x:c r="L91" s="26" t="str">
        <x:f>IF(A91="","",K91^2)</x:f>
      </x:c>
      <x:c r="M91" s="26" t="str">
        <x:f>IF(A91="","",Parametreler!$B$5*K91*D91)</x:f>
      </x:c>
      <x:c r="N91" s="26" t="str">
        <x:f>IF(A91="","",Parametreler!$B$5*K91*E91)</x:f>
      </x:c>
      <x:c r="O91" s="26" t="str">
        <x:f>IF(A91="","",Parametreler!$B$5*K91)</x:f>
      </x:c>
      <x:c r="P91" s="26" t="str">
        <x:f>IF(A91="","",G91+M91)</x:f>
      </x:c>
      <x:c r="Q91" s="26" t="str">
        <x:f>IF(A91="","",H91+N91)</x:f>
      </x:c>
      <x:c r="R91" s="26" t="str">
        <x:f>IF(A91="","",I91+O91)</x:f>
      </x:c>
    </x:row>
    <x:row r="92" ht="20" customHeight="1">
      <x:c r="A92" t="str">
        <x:f>IF(88&lt;=Parametreler!$B$9*Parametreler!$B$10,88,"")</x:f>
      </x:c>
      <x:c r="B92" t="str">
        <x:f>IF(A92="","",INT((A92-1)/Parametreler!$B$10)+1)</x:f>
      </x:c>
      <x:c r="C92" t="str">
        <x:f>IF(A92="","",MOD(A92-1,Parametreler!$B$10)+1)</x:f>
      </x:c>
      <x:c r="D92" s="26" t="str">
        <x:f>IF(A92="","",INDEX('Veri Kumesi'!$B$5:$B$8,C92))</x:f>
      </x:c>
      <x:c r="E92" s="26" t="str">
        <x:f>IF(A92="","",INDEX('Veri Kumesi'!$C$5:$C$8,C92))</x:f>
      </x:c>
      <x:c r="F92" s="26" t="str">
        <x:f>IF(A92="","",INDEX('Veri Kumesi'!$D$5:$D$8,C92))</x:f>
      </x:c>
      <x:c r="G92" s="26" t="str">
        <x:f>IF(A92="","",P91)</x:f>
      </x:c>
      <x:c r="H92" s="26" t="str">
        <x:f>IF(A92="","",Q91)</x:f>
      </x:c>
      <x:c r="I92" s="26" t="str">
        <x:f>IF(A92="","",R91)</x:f>
      </x:c>
      <x:c r="J92" s="26" t="str">
        <x:f>IF(A92="","",G92*D92+H92*E92+I92)</x:f>
      </x:c>
      <x:c r="K92" s="26" t="str">
        <x:f>IF(A92="","",F92-J92)</x:f>
      </x:c>
      <x:c r="L92" s="26" t="str">
        <x:f>IF(A92="","",K92^2)</x:f>
      </x:c>
      <x:c r="M92" s="26" t="str">
        <x:f>IF(A92="","",Parametreler!$B$5*K92*D92)</x:f>
      </x:c>
      <x:c r="N92" s="26" t="str">
        <x:f>IF(A92="","",Parametreler!$B$5*K92*E92)</x:f>
      </x:c>
      <x:c r="O92" s="26" t="str">
        <x:f>IF(A92="","",Parametreler!$B$5*K92)</x:f>
      </x:c>
      <x:c r="P92" s="26" t="str">
        <x:f>IF(A92="","",G92+M92)</x:f>
      </x:c>
      <x:c r="Q92" s="26" t="str">
        <x:f>IF(A92="","",H92+N92)</x:f>
      </x:c>
      <x:c r="R92" s="26" t="str">
        <x:f>IF(A92="","",I92+O92)</x:f>
      </x:c>
    </x:row>
    <x:row r="93" ht="20" customHeight="1">
      <x:c r="A93" t="str">
        <x:f>IF(89&lt;=Parametreler!$B$9*Parametreler!$B$10,89,"")</x:f>
      </x:c>
      <x:c r="B93" t="str">
        <x:f>IF(A93="","",INT((A93-1)/Parametreler!$B$10)+1)</x:f>
      </x:c>
      <x:c r="C93" t="str">
        <x:f>IF(A93="","",MOD(A93-1,Parametreler!$B$10)+1)</x:f>
      </x:c>
      <x:c r="D93" s="26" t="str">
        <x:f>IF(A93="","",INDEX('Veri Kumesi'!$B$5:$B$8,C93))</x:f>
      </x:c>
      <x:c r="E93" s="26" t="str">
        <x:f>IF(A93="","",INDEX('Veri Kumesi'!$C$5:$C$8,C93))</x:f>
      </x:c>
      <x:c r="F93" s="26" t="str">
        <x:f>IF(A93="","",INDEX('Veri Kumesi'!$D$5:$D$8,C93))</x:f>
      </x:c>
      <x:c r="G93" s="26" t="str">
        <x:f>IF(A93="","",P92)</x:f>
      </x:c>
      <x:c r="H93" s="26" t="str">
        <x:f>IF(A93="","",Q92)</x:f>
      </x:c>
      <x:c r="I93" s="26" t="str">
        <x:f>IF(A93="","",R92)</x:f>
      </x:c>
      <x:c r="J93" s="26" t="str">
        <x:f>IF(A93="","",G93*D93+H93*E93+I93)</x:f>
      </x:c>
      <x:c r="K93" s="26" t="str">
        <x:f>IF(A93="","",F93-J93)</x:f>
      </x:c>
      <x:c r="L93" s="26" t="str">
        <x:f>IF(A93="","",K93^2)</x:f>
      </x:c>
      <x:c r="M93" s="26" t="str">
        <x:f>IF(A93="","",Parametreler!$B$5*K93*D93)</x:f>
      </x:c>
      <x:c r="N93" s="26" t="str">
        <x:f>IF(A93="","",Parametreler!$B$5*K93*E93)</x:f>
      </x:c>
      <x:c r="O93" s="26" t="str">
        <x:f>IF(A93="","",Parametreler!$B$5*K93)</x:f>
      </x:c>
      <x:c r="P93" s="26" t="str">
        <x:f>IF(A93="","",G93+M93)</x:f>
      </x:c>
      <x:c r="Q93" s="26" t="str">
        <x:f>IF(A93="","",H93+N93)</x:f>
      </x:c>
      <x:c r="R93" s="26" t="str">
        <x:f>IF(A93="","",I93+O93)</x:f>
      </x:c>
    </x:row>
    <x:row r="94" ht="20" customHeight="1">
      <x:c r="A94" t="str">
        <x:f>IF(90&lt;=Parametreler!$B$9*Parametreler!$B$10,90,"")</x:f>
      </x:c>
      <x:c r="B94" t="str">
        <x:f>IF(A94="","",INT((A94-1)/Parametreler!$B$10)+1)</x:f>
      </x:c>
      <x:c r="C94" t="str">
        <x:f>IF(A94="","",MOD(A94-1,Parametreler!$B$10)+1)</x:f>
      </x:c>
      <x:c r="D94" s="26" t="str">
        <x:f>IF(A94="","",INDEX('Veri Kumesi'!$B$5:$B$8,C94))</x:f>
      </x:c>
      <x:c r="E94" s="26" t="str">
        <x:f>IF(A94="","",INDEX('Veri Kumesi'!$C$5:$C$8,C94))</x:f>
      </x:c>
      <x:c r="F94" s="26" t="str">
        <x:f>IF(A94="","",INDEX('Veri Kumesi'!$D$5:$D$8,C94))</x:f>
      </x:c>
      <x:c r="G94" s="26" t="str">
        <x:f>IF(A94="","",P93)</x:f>
      </x:c>
      <x:c r="H94" s="26" t="str">
        <x:f>IF(A94="","",Q93)</x:f>
      </x:c>
      <x:c r="I94" s="26" t="str">
        <x:f>IF(A94="","",R93)</x:f>
      </x:c>
      <x:c r="J94" s="26" t="str">
        <x:f>IF(A94="","",G94*D94+H94*E94+I94)</x:f>
      </x:c>
      <x:c r="K94" s="26" t="str">
        <x:f>IF(A94="","",F94-J94)</x:f>
      </x:c>
      <x:c r="L94" s="26" t="str">
        <x:f>IF(A94="","",K94^2)</x:f>
      </x:c>
      <x:c r="M94" s="26" t="str">
        <x:f>IF(A94="","",Parametreler!$B$5*K94*D94)</x:f>
      </x:c>
      <x:c r="N94" s="26" t="str">
        <x:f>IF(A94="","",Parametreler!$B$5*K94*E94)</x:f>
      </x:c>
      <x:c r="O94" s="26" t="str">
        <x:f>IF(A94="","",Parametreler!$B$5*K94)</x:f>
      </x:c>
      <x:c r="P94" s="26" t="str">
        <x:f>IF(A94="","",G94+M94)</x:f>
      </x:c>
      <x:c r="Q94" s="26" t="str">
        <x:f>IF(A94="","",H94+N94)</x:f>
      </x:c>
      <x:c r="R94" s="26" t="str">
        <x:f>IF(A94="","",I94+O94)</x:f>
      </x:c>
    </x:row>
    <x:row r="95" ht="20" customHeight="1">
      <x:c r="A95" t="str">
        <x:f>IF(91&lt;=Parametreler!$B$9*Parametreler!$B$10,91,"")</x:f>
      </x:c>
      <x:c r="B95" t="str">
        <x:f>IF(A95="","",INT((A95-1)/Parametreler!$B$10)+1)</x:f>
      </x:c>
      <x:c r="C95" t="str">
        <x:f>IF(A95="","",MOD(A95-1,Parametreler!$B$10)+1)</x:f>
      </x:c>
      <x:c r="D95" s="26" t="str">
        <x:f>IF(A95="","",INDEX('Veri Kumesi'!$B$5:$B$8,C95))</x:f>
      </x:c>
      <x:c r="E95" s="26" t="str">
        <x:f>IF(A95="","",INDEX('Veri Kumesi'!$C$5:$C$8,C95))</x:f>
      </x:c>
      <x:c r="F95" s="26" t="str">
        <x:f>IF(A95="","",INDEX('Veri Kumesi'!$D$5:$D$8,C95))</x:f>
      </x:c>
      <x:c r="G95" s="26" t="str">
        <x:f>IF(A95="","",P94)</x:f>
      </x:c>
      <x:c r="H95" s="26" t="str">
        <x:f>IF(A95="","",Q94)</x:f>
      </x:c>
      <x:c r="I95" s="26" t="str">
        <x:f>IF(A95="","",R94)</x:f>
      </x:c>
      <x:c r="J95" s="26" t="str">
        <x:f>IF(A95="","",G95*D95+H95*E95+I95)</x:f>
      </x:c>
      <x:c r="K95" s="26" t="str">
        <x:f>IF(A95="","",F95-J95)</x:f>
      </x:c>
      <x:c r="L95" s="26" t="str">
        <x:f>IF(A95="","",K95^2)</x:f>
      </x:c>
      <x:c r="M95" s="26" t="str">
        <x:f>IF(A95="","",Parametreler!$B$5*K95*D95)</x:f>
      </x:c>
      <x:c r="N95" s="26" t="str">
        <x:f>IF(A95="","",Parametreler!$B$5*K95*E95)</x:f>
      </x:c>
      <x:c r="O95" s="26" t="str">
        <x:f>IF(A95="","",Parametreler!$B$5*K95)</x:f>
      </x:c>
      <x:c r="P95" s="26" t="str">
        <x:f>IF(A95="","",G95+M95)</x:f>
      </x:c>
      <x:c r="Q95" s="26" t="str">
        <x:f>IF(A95="","",H95+N95)</x:f>
      </x:c>
      <x:c r="R95" s="26" t="str">
        <x:f>IF(A95="","",I95+O95)</x:f>
      </x:c>
    </x:row>
    <x:row r="96" ht="20" customHeight="1">
      <x:c r="A96" t="str">
        <x:f>IF(92&lt;=Parametreler!$B$9*Parametreler!$B$10,92,"")</x:f>
      </x:c>
      <x:c r="B96" t="str">
        <x:f>IF(A96="","",INT((A96-1)/Parametreler!$B$10)+1)</x:f>
      </x:c>
      <x:c r="C96" t="str">
        <x:f>IF(A96="","",MOD(A96-1,Parametreler!$B$10)+1)</x:f>
      </x:c>
      <x:c r="D96" s="26" t="str">
        <x:f>IF(A96="","",INDEX('Veri Kumesi'!$B$5:$B$8,C96))</x:f>
      </x:c>
      <x:c r="E96" s="26" t="str">
        <x:f>IF(A96="","",INDEX('Veri Kumesi'!$C$5:$C$8,C96))</x:f>
      </x:c>
      <x:c r="F96" s="26" t="str">
        <x:f>IF(A96="","",INDEX('Veri Kumesi'!$D$5:$D$8,C96))</x:f>
      </x:c>
      <x:c r="G96" s="26" t="str">
        <x:f>IF(A96="","",P95)</x:f>
      </x:c>
      <x:c r="H96" s="26" t="str">
        <x:f>IF(A96="","",Q95)</x:f>
      </x:c>
      <x:c r="I96" s="26" t="str">
        <x:f>IF(A96="","",R95)</x:f>
      </x:c>
      <x:c r="J96" s="26" t="str">
        <x:f>IF(A96="","",G96*D96+H96*E96+I96)</x:f>
      </x:c>
      <x:c r="K96" s="26" t="str">
        <x:f>IF(A96="","",F96-J96)</x:f>
      </x:c>
      <x:c r="L96" s="26" t="str">
        <x:f>IF(A96="","",K96^2)</x:f>
      </x:c>
      <x:c r="M96" s="26" t="str">
        <x:f>IF(A96="","",Parametreler!$B$5*K96*D96)</x:f>
      </x:c>
      <x:c r="N96" s="26" t="str">
        <x:f>IF(A96="","",Parametreler!$B$5*K96*E96)</x:f>
      </x:c>
      <x:c r="O96" s="26" t="str">
        <x:f>IF(A96="","",Parametreler!$B$5*K96)</x:f>
      </x:c>
      <x:c r="P96" s="26" t="str">
        <x:f>IF(A96="","",G96+M96)</x:f>
      </x:c>
      <x:c r="Q96" s="26" t="str">
        <x:f>IF(A96="","",H96+N96)</x:f>
      </x:c>
      <x:c r="R96" s="26" t="str">
        <x:f>IF(A96="","",I96+O96)</x:f>
      </x:c>
    </x:row>
    <x:row r="97" ht="20" customHeight="1">
      <x:c r="A97" t="str">
        <x:f>IF(93&lt;=Parametreler!$B$9*Parametreler!$B$10,93,"")</x:f>
      </x:c>
      <x:c r="B97" t="str">
        <x:f>IF(A97="","",INT((A97-1)/Parametreler!$B$10)+1)</x:f>
      </x:c>
      <x:c r="C97" t="str">
        <x:f>IF(A97="","",MOD(A97-1,Parametreler!$B$10)+1)</x:f>
      </x:c>
      <x:c r="D97" s="26" t="str">
        <x:f>IF(A97="","",INDEX('Veri Kumesi'!$B$5:$B$8,C97))</x:f>
      </x:c>
      <x:c r="E97" s="26" t="str">
        <x:f>IF(A97="","",INDEX('Veri Kumesi'!$C$5:$C$8,C97))</x:f>
      </x:c>
      <x:c r="F97" s="26" t="str">
        <x:f>IF(A97="","",INDEX('Veri Kumesi'!$D$5:$D$8,C97))</x:f>
      </x:c>
      <x:c r="G97" s="26" t="str">
        <x:f>IF(A97="","",P96)</x:f>
      </x:c>
      <x:c r="H97" s="26" t="str">
        <x:f>IF(A97="","",Q96)</x:f>
      </x:c>
      <x:c r="I97" s="26" t="str">
        <x:f>IF(A97="","",R96)</x:f>
      </x:c>
      <x:c r="J97" s="26" t="str">
        <x:f>IF(A97="","",G97*D97+H97*E97+I97)</x:f>
      </x:c>
      <x:c r="K97" s="26" t="str">
        <x:f>IF(A97="","",F97-J97)</x:f>
      </x:c>
      <x:c r="L97" s="26" t="str">
        <x:f>IF(A97="","",K97^2)</x:f>
      </x:c>
      <x:c r="M97" s="26" t="str">
        <x:f>IF(A97="","",Parametreler!$B$5*K97*D97)</x:f>
      </x:c>
      <x:c r="N97" s="26" t="str">
        <x:f>IF(A97="","",Parametreler!$B$5*K97*E97)</x:f>
      </x:c>
      <x:c r="O97" s="26" t="str">
        <x:f>IF(A97="","",Parametreler!$B$5*K97)</x:f>
      </x:c>
      <x:c r="P97" s="26" t="str">
        <x:f>IF(A97="","",G97+M97)</x:f>
      </x:c>
      <x:c r="Q97" s="26" t="str">
        <x:f>IF(A97="","",H97+N97)</x:f>
      </x:c>
      <x:c r="R97" s="26" t="str">
        <x:f>IF(A97="","",I97+O97)</x:f>
      </x:c>
    </x:row>
    <x:row r="98" ht="20" customHeight="1">
      <x:c r="A98" t="str">
        <x:f>IF(94&lt;=Parametreler!$B$9*Parametreler!$B$10,94,"")</x:f>
      </x:c>
      <x:c r="B98" t="str">
        <x:f>IF(A98="","",INT((A98-1)/Parametreler!$B$10)+1)</x:f>
      </x:c>
      <x:c r="C98" t="str">
        <x:f>IF(A98="","",MOD(A98-1,Parametreler!$B$10)+1)</x:f>
      </x:c>
      <x:c r="D98" s="26" t="str">
        <x:f>IF(A98="","",INDEX('Veri Kumesi'!$B$5:$B$8,C98))</x:f>
      </x:c>
      <x:c r="E98" s="26" t="str">
        <x:f>IF(A98="","",INDEX('Veri Kumesi'!$C$5:$C$8,C98))</x:f>
      </x:c>
      <x:c r="F98" s="26" t="str">
        <x:f>IF(A98="","",INDEX('Veri Kumesi'!$D$5:$D$8,C98))</x:f>
      </x:c>
      <x:c r="G98" s="26" t="str">
        <x:f>IF(A98="","",P97)</x:f>
      </x:c>
      <x:c r="H98" s="26" t="str">
        <x:f>IF(A98="","",Q97)</x:f>
      </x:c>
      <x:c r="I98" s="26" t="str">
        <x:f>IF(A98="","",R97)</x:f>
      </x:c>
      <x:c r="J98" s="26" t="str">
        <x:f>IF(A98="","",G98*D98+H98*E98+I98)</x:f>
      </x:c>
      <x:c r="K98" s="26" t="str">
        <x:f>IF(A98="","",F98-J98)</x:f>
      </x:c>
      <x:c r="L98" s="26" t="str">
        <x:f>IF(A98="","",K98^2)</x:f>
      </x:c>
      <x:c r="M98" s="26" t="str">
        <x:f>IF(A98="","",Parametreler!$B$5*K98*D98)</x:f>
      </x:c>
      <x:c r="N98" s="26" t="str">
        <x:f>IF(A98="","",Parametreler!$B$5*K98*E98)</x:f>
      </x:c>
      <x:c r="O98" s="26" t="str">
        <x:f>IF(A98="","",Parametreler!$B$5*K98)</x:f>
      </x:c>
      <x:c r="P98" s="26" t="str">
        <x:f>IF(A98="","",G98+M98)</x:f>
      </x:c>
      <x:c r="Q98" s="26" t="str">
        <x:f>IF(A98="","",H98+N98)</x:f>
      </x:c>
      <x:c r="R98" s="26" t="str">
        <x:f>IF(A98="","",I98+O98)</x:f>
      </x:c>
    </x:row>
    <x:row r="99" ht="20" customHeight="1">
      <x:c r="A99" t="str">
        <x:f>IF(95&lt;=Parametreler!$B$9*Parametreler!$B$10,95,"")</x:f>
      </x:c>
      <x:c r="B99" t="str">
        <x:f>IF(A99="","",INT((A99-1)/Parametreler!$B$10)+1)</x:f>
      </x:c>
      <x:c r="C99" t="str">
        <x:f>IF(A99="","",MOD(A99-1,Parametreler!$B$10)+1)</x:f>
      </x:c>
      <x:c r="D99" s="26" t="str">
        <x:f>IF(A99="","",INDEX('Veri Kumesi'!$B$5:$B$8,C99))</x:f>
      </x:c>
      <x:c r="E99" s="26" t="str">
        <x:f>IF(A99="","",INDEX('Veri Kumesi'!$C$5:$C$8,C99))</x:f>
      </x:c>
      <x:c r="F99" s="26" t="str">
        <x:f>IF(A99="","",INDEX('Veri Kumesi'!$D$5:$D$8,C99))</x:f>
      </x:c>
      <x:c r="G99" s="26" t="str">
        <x:f>IF(A99="","",P98)</x:f>
      </x:c>
      <x:c r="H99" s="26" t="str">
        <x:f>IF(A99="","",Q98)</x:f>
      </x:c>
      <x:c r="I99" s="26" t="str">
        <x:f>IF(A99="","",R98)</x:f>
      </x:c>
      <x:c r="J99" s="26" t="str">
        <x:f>IF(A99="","",G99*D99+H99*E99+I99)</x:f>
      </x:c>
      <x:c r="K99" s="26" t="str">
        <x:f>IF(A99="","",F99-J99)</x:f>
      </x:c>
      <x:c r="L99" s="26" t="str">
        <x:f>IF(A99="","",K99^2)</x:f>
      </x:c>
      <x:c r="M99" s="26" t="str">
        <x:f>IF(A99="","",Parametreler!$B$5*K99*D99)</x:f>
      </x:c>
      <x:c r="N99" s="26" t="str">
        <x:f>IF(A99="","",Parametreler!$B$5*K99*E99)</x:f>
      </x:c>
      <x:c r="O99" s="26" t="str">
        <x:f>IF(A99="","",Parametreler!$B$5*K99)</x:f>
      </x:c>
      <x:c r="P99" s="26" t="str">
        <x:f>IF(A99="","",G99+M99)</x:f>
      </x:c>
      <x:c r="Q99" s="26" t="str">
        <x:f>IF(A99="","",H99+N99)</x:f>
      </x:c>
      <x:c r="R99" s="26" t="str">
        <x:f>IF(A99="","",I99+O99)</x:f>
      </x:c>
    </x:row>
    <x:row r="100" ht="20" customHeight="1">
      <x:c r="A100" t="str">
        <x:f>IF(96&lt;=Parametreler!$B$9*Parametreler!$B$10,96,"")</x:f>
      </x:c>
      <x:c r="B100" t="str">
        <x:f>IF(A100="","",INT((A100-1)/Parametreler!$B$10)+1)</x:f>
      </x:c>
      <x:c r="C100" t="str">
        <x:f>IF(A100="","",MOD(A100-1,Parametreler!$B$10)+1)</x:f>
      </x:c>
      <x:c r="D100" s="26" t="str">
        <x:f>IF(A100="","",INDEX('Veri Kumesi'!$B$5:$B$8,C100))</x:f>
      </x:c>
      <x:c r="E100" s="26" t="str">
        <x:f>IF(A100="","",INDEX('Veri Kumesi'!$C$5:$C$8,C100))</x:f>
      </x:c>
      <x:c r="F100" s="26" t="str">
        <x:f>IF(A100="","",INDEX('Veri Kumesi'!$D$5:$D$8,C100))</x:f>
      </x:c>
      <x:c r="G100" s="26" t="str">
        <x:f>IF(A100="","",P99)</x:f>
      </x:c>
      <x:c r="H100" s="26" t="str">
        <x:f>IF(A100="","",Q99)</x:f>
      </x:c>
      <x:c r="I100" s="26" t="str">
        <x:f>IF(A100="","",R99)</x:f>
      </x:c>
      <x:c r="J100" s="26" t="str">
        <x:f>IF(A100="","",G100*D100+H100*E100+I100)</x:f>
      </x:c>
      <x:c r="K100" s="26" t="str">
        <x:f>IF(A100="","",F100-J100)</x:f>
      </x:c>
      <x:c r="L100" s="26" t="str">
        <x:f>IF(A100="","",K100^2)</x:f>
      </x:c>
      <x:c r="M100" s="26" t="str">
        <x:f>IF(A100="","",Parametreler!$B$5*K100*D100)</x:f>
      </x:c>
      <x:c r="N100" s="26" t="str">
        <x:f>IF(A100="","",Parametreler!$B$5*K100*E100)</x:f>
      </x:c>
      <x:c r="O100" s="26" t="str">
        <x:f>IF(A100="","",Parametreler!$B$5*K100)</x:f>
      </x:c>
      <x:c r="P100" s="26" t="str">
        <x:f>IF(A100="","",G100+M100)</x:f>
      </x:c>
      <x:c r="Q100" s="26" t="str">
        <x:f>IF(A100="","",H100+N100)</x:f>
      </x:c>
      <x:c r="R100" s="26" t="str">
        <x:f>IF(A100="","",I100+O100)</x:f>
      </x:c>
    </x:row>
    <x:row r="101" ht="20" customHeight="1">
      <x:c r="A101" t="str">
        <x:f>IF(97&lt;=Parametreler!$B$9*Parametreler!$B$10,97,"")</x:f>
      </x:c>
      <x:c r="B101" t="str">
        <x:f>IF(A101="","",INT((A101-1)/Parametreler!$B$10)+1)</x:f>
      </x:c>
      <x:c r="C101" t="str">
        <x:f>IF(A101="","",MOD(A101-1,Parametreler!$B$10)+1)</x:f>
      </x:c>
      <x:c r="D101" s="26" t="str">
        <x:f>IF(A101="","",INDEX('Veri Kumesi'!$B$5:$B$8,C101))</x:f>
      </x:c>
      <x:c r="E101" s="26" t="str">
        <x:f>IF(A101="","",INDEX('Veri Kumesi'!$C$5:$C$8,C101))</x:f>
      </x:c>
      <x:c r="F101" s="26" t="str">
        <x:f>IF(A101="","",INDEX('Veri Kumesi'!$D$5:$D$8,C101))</x:f>
      </x:c>
      <x:c r="G101" s="26" t="str">
        <x:f>IF(A101="","",P100)</x:f>
      </x:c>
      <x:c r="H101" s="26" t="str">
        <x:f>IF(A101="","",Q100)</x:f>
      </x:c>
      <x:c r="I101" s="26" t="str">
        <x:f>IF(A101="","",R100)</x:f>
      </x:c>
      <x:c r="J101" s="26" t="str">
        <x:f>IF(A101="","",G101*D101+H101*E101+I101)</x:f>
      </x:c>
      <x:c r="K101" s="26" t="str">
        <x:f>IF(A101="","",F101-J101)</x:f>
      </x:c>
      <x:c r="L101" s="26" t="str">
        <x:f>IF(A101="","",K101^2)</x:f>
      </x:c>
      <x:c r="M101" s="26" t="str">
        <x:f>IF(A101="","",Parametreler!$B$5*K101*D101)</x:f>
      </x:c>
      <x:c r="N101" s="26" t="str">
        <x:f>IF(A101="","",Parametreler!$B$5*K101*E101)</x:f>
      </x:c>
      <x:c r="O101" s="26" t="str">
        <x:f>IF(A101="","",Parametreler!$B$5*K101)</x:f>
      </x:c>
      <x:c r="P101" s="26" t="str">
        <x:f>IF(A101="","",G101+M101)</x:f>
      </x:c>
      <x:c r="Q101" s="26" t="str">
        <x:f>IF(A101="","",H101+N101)</x:f>
      </x:c>
      <x:c r="R101" s="26" t="str">
        <x:f>IF(A101="","",I101+O101)</x:f>
      </x:c>
    </x:row>
    <x:row r="102" ht="20" customHeight="1">
      <x:c r="A102" t="str">
        <x:f>IF(98&lt;=Parametreler!$B$9*Parametreler!$B$10,98,"")</x:f>
      </x:c>
      <x:c r="B102" t="str">
        <x:f>IF(A102="","",INT((A102-1)/Parametreler!$B$10)+1)</x:f>
      </x:c>
      <x:c r="C102" t="str">
        <x:f>IF(A102="","",MOD(A102-1,Parametreler!$B$10)+1)</x:f>
      </x:c>
      <x:c r="D102" s="26" t="str">
        <x:f>IF(A102="","",INDEX('Veri Kumesi'!$B$5:$B$8,C102))</x:f>
      </x:c>
      <x:c r="E102" s="26" t="str">
        <x:f>IF(A102="","",INDEX('Veri Kumesi'!$C$5:$C$8,C102))</x:f>
      </x:c>
      <x:c r="F102" s="26" t="str">
        <x:f>IF(A102="","",INDEX('Veri Kumesi'!$D$5:$D$8,C102))</x:f>
      </x:c>
      <x:c r="G102" s="26" t="str">
        <x:f>IF(A102="","",P101)</x:f>
      </x:c>
      <x:c r="H102" s="26" t="str">
        <x:f>IF(A102="","",Q101)</x:f>
      </x:c>
      <x:c r="I102" s="26" t="str">
        <x:f>IF(A102="","",R101)</x:f>
      </x:c>
      <x:c r="J102" s="26" t="str">
        <x:f>IF(A102="","",G102*D102+H102*E102+I102)</x:f>
      </x:c>
      <x:c r="K102" s="26" t="str">
        <x:f>IF(A102="","",F102-J102)</x:f>
      </x:c>
      <x:c r="L102" s="26" t="str">
        <x:f>IF(A102="","",K102^2)</x:f>
      </x:c>
      <x:c r="M102" s="26" t="str">
        <x:f>IF(A102="","",Parametreler!$B$5*K102*D102)</x:f>
      </x:c>
      <x:c r="N102" s="26" t="str">
        <x:f>IF(A102="","",Parametreler!$B$5*K102*E102)</x:f>
      </x:c>
      <x:c r="O102" s="26" t="str">
        <x:f>IF(A102="","",Parametreler!$B$5*K102)</x:f>
      </x:c>
      <x:c r="P102" s="26" t="str">
        <x:f>IF(A102="","",G102+M102)</x:f>
      </x:c>
      <x:c r="Q102" s="26" t="str">
        <x:f>IF(A102="","",H102+N102)</x:f>
      </x:c>
      <x:c r="R102" s="26" t="str">
        <x:f>IF(A102="","",I102+O102)</x:f>
      </x:c>
    </x:row>
    <x:row r="103" ht="20" customHeight="1">
      <x:c r="A103" t="str">
        <x:f>IF(99&lt;=Parametreler!$B$9*Parametreler!$B$10,99,"")</x:f>
      </x:c>
      <x:c r="B103" t="str">
        <x:f>IF(A103="","",INT((A103-1)/Parametreler!$B$10)+1)</x:f>
      </x:c>
      <x:c r="C103" t="str">
        <x:f>IF(A103="","",MOD(A103-1,Parametreler!$B$10)+1)</x:f>
      </x:c>
      <x:c r="D103" s="26" t="str">
        <x:f>IF(A103="","",INDEX('Veri Kumesi'!$B$5:$B$8,C103))</x:f>
      </x:c>
      <x:c r="E103" s="26" t="str">
        <x:f>IF(A103="","",INDEX('Veri Kumesi'!$C$5:$C$8,C103))</x:f>
      </x:c>
      <x:c r="F103" s="26" t="str">
        <x:f>IF(A103="","",INDEX('Veri Kumesi'!$D$5:$D$8,C103))</x:f>
      </x:c>
      <x:c r="G103" s="26" t="str">
        <x:f>IF(A103="","",P102)</x:f>
      </x:c>
      <x:c r="H103" s="26" t="str">
        <x:f>IF(A103="","",Q102)</x:f>
      </x:c>
      <x:c r="I103" s="26" t="str">
        <x:f>IF(A103="","",R102)</x:f>
      </x:c>
      <x:c r="J103" s="26" t="str">
        <x:f>IF(A103="","",G103*D103+H103*E103+I103)</x:f>
      </x:c>
      <x:c r="K103" s="26" t="str">
        <x:f>IF(A103="","",F103-J103)</x:f>
      </x:c>
      <x:c r="L103" s="26" t="str">
        <x:f>IF(A103="","",K103^2)</x:f>
      </x:c>
      <x:c r="M103" s="26" t="str">
        <x:f>IF(A103="","",Parametreler!$B$5*K103*D103)</x:f>
      </x:c>
      <x:c r="N103" s="26" t="str">
        <x:f>IF(A103="","",Parametreler!$B$5*K103*E103)</x:f>
      </x:c>
      <x:c r="O103" s="26" t="str">
        <x:f>IF(A103="","",Parametreler!$B$5*K103)</x:f>
      </x:c>
      <x:c r="P103" s="26" t="str">
        <x:f>IF(A103="","",G103+M103)</x:f>
      </x:c>
      <x:c r="Q103" s="26" t="str">
        <x:f>IF(A103="","",H103+N103)</x:f>
      </x:c>
      <x:c r="R103" s="26" t="str">
        <x:f>IF(A103="","",I103+O103)</x:f>
      </x:c>
    </x:row>
    <x:row r="104" ht="20" customHeight="1">
      <x:c r="A104" t="str">
        <x:f>IF(100&lt;=Parametreler!$B$9*Parametreler!$B$10,100,"")</x:f>
      </x:c>
      <x:c r="B104" t="str">
        <x:f>IF(A104="","",INT((A104-1)/Parametreler!$B$10)+1)</x:f>
      </x:c>
      <x:c r="C104" t="str">
        <x:f>IF(A104="","",MOD(A104-1,Parametreler!$B$10)+1)</x:f>
      </x:c>
      <x:c r="D104" s="26" t="str">
        <x:f>IF(A104="","",INDEX('Veri Kumesi'!$B$5:$B$8,C104))</x:f>
      </x:c>
      <x:c r="E104" s="26" t="str">
        <x:f>IF(A104="","",INDEX('Veri Kumesi'!$C$5:$C$8,C104))</x:f>
      </x:c>
      <x:c r="F104" s="26" t="str">
        <x:f>IF(A104="","",INDEX('Veri Kumesi'!$D$5:$D$8,C104))</x:f>
      </x:c>
      <x:c r="G104" s="26" t="str">
        <x:f>IF(A104="","",P103)</x:f>
      </x:c>
      <x:c r="H104" s="26" t="str">
        <x:f>IF(A104="","",Q103)</x:f>
      </x:c>
      <x:c r="I104" s="26" t="str">
        <x:f>IF(A104="","",R103)</x:f>
      </x:c>
      <x:c r="J104" s="26" t="str">
        <x:f>IF(A104="","",G104*D104+H104*E104+I104)</x:f>
      </x:c>
      <x:c r="K104" s="26" t="str">
        <x:f>IF(A104="","",F104-J104)</x:f>
      </x:c>
      <x:c r="L104" s="26" t="str">
        <x:f>IF(A104="","",K104^2)</x:f>
      </x:c>
      <x:c r="M104" s="26" t="str">
        <x:f>IF(A104="","",Parametreler!$B$5*K104*D104)</x:f>
      </x:c>
      <x:c r="N104" s="26" t="str">
        <x:f>IF(A104="","",Parametreler!$B$5*K104*E104)</x:f>
      </x:c>
      <x:c r="O104" s="26" t="str">
        <x:f>IF(A104="","",Parametreler!$B$5*K104)</x:f>
      </x:c>
      <x:c r="P104" s="26" t="str">
        <x:f>IF(A104="","",G104+M104)</x:f>
      </x:c>
      <x:c r="Q104" s="26" t="str">
        <x:f>IF(A104="","",H104+N104)</x:f>
      </x:c>
      <x:c r="R104" s="26" t="str">
        <x:f>IF(A104="","",I104+O104)</x:f>
      </x:c>
    </x:row>
    <x:row r="105" ht="20" customHeight="1">
      <x:c r="A105" t="str">
        <x:f>IF(101&lt;=Parametreler!$B$9*Parametreler!$B$10,101,"")</x:f>
      </x:c>
      <x:c r="B105" t="str">
        <x:f>IF(A105="","",INT((A105-1)/Parametreler!$B$10)+1)</x:f>
      </x:c>
      <x:c r="C105" t="str">
        <x:f>IF(A105="","",MOD(A105-1,Parametreler!$B$10)+1)</x:f>
      </x:c>
      <x:c r="D105" s="26" t="str">
        <x:f>IF(A105="","",INDEX('Veri Kumesi'!$B$5:$B$8,C105))</x:f>
      </x:c>
      <x:c r="E105" s="26" t="str">
        <x:f>IF(A105="","",INDEX('Veri Kumesi'!$C$5:$C$8,C105))</x:f>
      </x:c>
      <x:c r="F105" s="26" t="str">
        <x:f>IF(A105="","",INDEX('Veri Kumesi'!$D$5:$D$8,C105))</x:f>
      </x:c>
      <x:c r="G105" s="26" t="str">
        <x:f>IF(A105="","",P104)</x:f>
      </x:c>
      <x:c r="H105" s="26" t="str">
        <x:f>IF(A105="","",Q104)</x:f>
      </x:c>
      <x:c r="I105" s="26" t="str">
        <x:f>IF(A105="","",R104)</x:f>
      </x:c>
      <x:c r="J105" s="26" t="str">
        <x:f>IF(A105="","",G105*D105+H105*E105+I105)</x:f>
      </x:c>
      <x:c r="K105" s="26" t="str">
        <x:f>IF(A105="","",F105-J105)</x:f>
      </x:c>
      <x:c r="L105" s="26" t="str">
        <x:f>IF(A105="","",K105^2)</x:f>
      </x:c>
      <x:c r="M105" s="26" t="str">
        <x:f>IF(A105="","",Parametreler!$B$5*K105*D105)</x:f>
      </x:c>
      <x:c r="N105" s="26" t="str">
        <x:f>IF(A105="","",Parametreler!$B$5*K105*E105)</x:f>
      </x:c>
      <x:c r="O105" s="26" t="str">
        <x:f>IF(A105="","",Parametreler!$B$5*K105)</x:f>
      </x:c>
      <x:c r="P105" s="26" t="str">
        <x:f>IF(A105="","",G105+M105)</x:f>
      </x:c>
      <x:c r="Q105" s="26" t="str">
        <x:f>IF(A105="","",H105+N105)</x:f>
      </x:c>
      <x:c r="R105" s="26" t="str">
        <x:f>IF(A105="","",I105+O105)</x:f>
      </x:c>
    </x:row>
    <x:row r="106" ht="20" customHeight="1">
      <x:c r="A106" t="str">
        <x:f>IF(102&lt;=Parametreler!$B$9*Parametreler!$B$10,102,"")</x:f>
      </x:c>
      <x:c r="B106" t="str">
        <x:f>IF(A106="","",INT((A106-1)/Parametreler!$B$10)+1)</x:f>
      </x:c>
      <x:c r="C106" t="str">
        <x:f>IF(A106="","",MOD(A106-1,Parametreler!$B$10)+1)</x:f>
      </x:c>
      <x:c r="D106" s="26" t="str">
        <x:f>IF(A106="","",INDEX('Veri Kumesi'!$B$5:$B$8,C106))</x:f>
      </x:c>
      <x:c r="E106" s="26" t="str">
        <x:f>IF(A106="","",INDEX('Veri Kumesi'!$C$5:$C$8,C106))</x:f>
      </x:c>
      <x:c r="F106" s="26" t="str">
        <x:f>IF(A106="","",INDEX('Veri Kumesi'!$D$5:$D$8,C106))</x:f>
      </x:c>
      <x:c r="G106" s="26" t="str">
        <x:f>IF(A106="","",P105)</x:f>
      </x:c>
      <x:c r="H106" s="26" t="str">
        <x:f>IF(A106="","",Q105)</x:f>
      </x:c>
      <x:c r="I106" s="26" t="str">
        <x:f>IF(A106="","",R105)</x:f>
      </x:c>
      <x:c r="J106" s="26" t="str">
        <x:f>IF(A106="","",G106*D106+H106*E106+I106)</x:f>
      </x:c>
      <x:c r="K106" s="26" t="str">
        <x:f>IF(A106="","",F106-J106)</x:f>
      </x:c>
      <x:c r="L106" s="26" t="str">
        <x:f>IF(A106="","",K106^2)</x:f>
      </x:c>
      <x:c r="M106" s="26" t="str">
        <x:f>IF(A106="","",Parametreler!$B$5*K106*D106)</x:f>
      </x:c>
      <x:c r="N106" s="26" t="str">
        <x:f>IF(A106="","",Parametreler!$B$5*K106*E106)</x:f>
      </x:c>
      <x:c r="O106" s="26" t="str">
        <x:f>IF(A106="","",Parametreler!$B$5*K106)</x:f>
      </x:c>
      <x:c r="P106" s="26" t="str">
        <x:f>IF(A106="","",G106+M106)</x:f>
      </x:c>
      <x:c r="Q106" s="26" t="str">
        <x:f>IF(A106="","",H106+N106)</x:f>
      </x:c>
      <x:c r="R106" s="26" t="str">
        <x:f>IF(A106="","",I106+O106)</x:f>
      </x:c>
    </x:row>
    <x:row r="107" ht="20" customHeight="1">
      <x:c r="A107" t="str">
        <x:f>IF(103&lt;=Parametreler!$B$9*Parametreler!$B$10,103,"")</x:f>
      </x:c>
      <x:c r="B107" t="str">
        <x:f>IF(A107="","",INT((A107-1)/Parametreler!$B$10)+1)</x:f>
      </x:c>
      <x:c r="C107" t="str">
        <x:f>IF(A107="","",MOD(A107-1,Parametreler!$B$10)+1)</x:f>
      </x:c>
      <x:c r="D107" s="26" t="str">
        <x:f>IF(A107="","",INDEX('Veri Kumesi'!$B$5:$B$8,C107))</x:f>
      </x:c>
      <x:c r="E107" s="26" t="str">
        <x:f>IF(A107="","",INDEX('Veri Kumesi'!$C$5:$C$8,C107))</x:f>
      </x:c>
      <x:c r="F107" s="26" t="str">
        <x:f>IF(A107="","",INDEX('Veri Kumesi'!$D$5:$D$8,C107))</x:f>
      </x:c>
      <x:c r="G107" s="26" t="str">
        <x:f>IF(A107="","",P106)</x:f>
      </x:c>
      <x:c r="H107" s="26" t="str">
        <x:f>IF(A107="","",Q106)</x:f>
      </x:c>
      <x:c r="I107" s="26" t="str">
        <x:f>IF(A107="","",R106)</x:f>
      </x:c>
      <x:c r="J107" s="26" t="str">
        <x:f>IF(A107="","",G107*D107+H107*E107+I107)</x:f>
      </x:c>
      <x:c r="K107" s="26" t="str">
        <x:f>IF(A107="","",F107-J107)</x:f>
      </x:c>
      <x:c r="L107" s="26" t="str">
        <x:f>IF(A107="","",K107^2)</x:f>
      </x:c>
      <x:c r="M107" s="26" t="str">
        <x:f>IF(A107="","",Parametreler!$B$5*K107*D107)</x:f>
      </x:c>
      <x:c r="N107" s="26" t="str">
        <x:f>IF(A107="","",Parametreler!$B$5*K107*E107)</x:f>
      </x:c>
      <x:c r="O107" s="26" t="str">
        <x:f>IF(A107="","",Parametreler!$B$5*K107)</x:f>
      </x:c>
      <x:c r="P107" s="26" t="str">
        <x:f>IF(A107="","",G107+M107)</x:f>
      </x:c>
      <x:c r="Q107" s="26" t="str">
        <x:f>IF(A107="","",H107+N107)</x:f>
      </x:c>
      <x:c r="R107" s="26" t="str">
        <x:f>IF(A107="","",I107+O107)</x:f>
      </x:c>
    </x:row>
    <x:row r="108" ht="20" customHeight="1">
      <x:c r="A108" t="str">
        <x:f>IF(104&lt;=Parametreler!$B$9*Parametreler!$B$10,104,"")</x:f>
      </x:c>
      <x:c r="B108" t="str">
        <x:f>IF(A108="","",INT((A108-1)/Parametreler!$B$10)+1)</x:f>
      </x:c>
      <x:c r="C108" t="str">
        <x:f>IF(A108="","",MOD(A108-1,Parametreler!$B$10)+1)</x:f>
      </x:c>
      <x:c r="D108" s="26" t="str">
        <x:f>IF(A108="","",INDEX('Veri Kumesi'!$B$5:$B$8,C108))</x:f>
      </x:c>
      <x:c r="E108" s="26" t="str">
        <x:f>IF(A108="","",INDEX('Veri Kumesi'!$C$5:$C$8,C108))</x:f>
      </x:c>
      <x:c r="F108" s="26" t="str">
        <x:f>IF(A108="","",INDEX('Veri Kumesi'!$D$5:$D$8,C108))</x:f>
      </x:c>
      <x:c r="G108" s="26" t="str">
        <x:f>IF(A108="","",P107)</x:f>
      </x:c>
      <x:c r="H108" s="26" t="str">
        <x:f>IF(A108="","",Q107)</x:f>
      </x:c>
      <x:c r="I108" s="26" t="str">
        <x:f>IF(A108="","",R107)</x:f>
      </x:c>
      <x:c r="J108" s="26" t="str">
        <x:f>IF(A108="","",G108*D108+H108*E108+I108)</x:f>
      </x:c>
      <x:c r="K108" s="26" t="str">
        <x:f>IF(A108="","",F108-J108)</x:f>
      </x:c>
      <x:c r="L108" s="26" t="str">
        <x:f>IF(A108="","",K108^2)</x:f>
      </x:c>
      <x:c r="M108" s="26" t="str">
        <x:f>IF(A108="","",Parametreler!$B$5*K108*D108)</x:f>
      </x:c>
      <x:c r="N108" s="26" t="str">
        <x:f>IF(A108="","",Parametreler!$B$5*K108*E108)</x:f>
      </x:c>
      <x:c r="O108" s="26" t="str">
        <x:f>IF(A108="","",Parametreler!$B$5*K108)</x:f>
      </x:c>
      <x:c r="P108" s="26" t="str">
        <x:f>IF(A108="","",G108+M108)</x:f>
      </x:c>
      <x:c r="Q108" s="26" t="str">
        <x:f>IF(A108="","",H108+N108)</x:f>
      </x:c>
      <x:c r="R108" s="26" t="str">
        <x:f>IF(A108="","",I108+O108)</x:f>
      </x:c>
    </x:row>
    <x:row r="109" ht="20" customHeight="1">
      <x:c r="A109" t="str">
        <x:f>IF(105&lt;=Parametreler!$B$9*Parametreler!$B$10,105,"")</x:f>
      </x:c>
      <x:c r="B109" t="str">
        <x:f>IF(A109="","",INT((A109-1)/Parametreler!$B$10)+1)</x:f>
      </x:c>
      <x:c r="C109" t="str">
        <x:f>IF(A109="","",MOD(A109-1,Parametreler!$B$10)+1)</x:f>
      </x:c>
      <x:c r="D109" s="26" t="str">
        <x:f>IF(A109="","",INDEX('Veri Kumesi'!$B$5:$B$8,C109))</x:f>
      </x:c>
      <x:c r="E109" s="26" t="str">
        <x:f>IF(A109="","",INDEX('Veri Kumesi'!$C$5:$C$8,C109))</x:f>
      </x:c>
      <x:c r="F109" s="26" t="str">
        <x:f>IF(A109="","",INDEX('Veri Kumesi'!$D$5:$D$8,C109))</x:f>
      </x:c>
      <x:c r="G109" s="26" t="str">
        <x:f>IF(A109="","",P108)</x:f>
      </x:c>
      <x:c r="H109" s="26" t="str">
        <x:f>IF(A109="","",Q108)</x:f>
      </x:c>
      <x:c r="I109" s="26" t="str">
        <x:f>IF(A109="","",R108)</x:f>
      </x:c>
      <x:c r="J109" s="26" t="str">
        <x:f>IF(A109="","",G109*D109+H109*E109+I109)</x:f>
      </x:c>
      <x:c r="K109" s="26" t="str">
        <x:f>IF(A109="","",F109-J109)</x:f>
      </x:c>
      <x:c r="L109" s="26" t="str">
        <x:f>IF(A109="","",K109^2)</x:f>
      </x:c>
      <x:c r="M109" s="26" t="str">
        <x:f>IF(A109="","",Parametreler!$B$5*K109*D109)</x:f>
      </x:c>
      <x:c r="N109" s="26" t="str">
        <x:f>IF(A109="","",Parametreler!$B$5*K109*E109)</x:f>
      </x:c>
      <x:c r="O109" s="26" t="str">
        <x:f>IF(A109="","",Parametreler!$B$5*K109)</x:f>
      </x:c>
      <x:c r="P109" s="26" t="str">
        <x:f>IF(A109="","",G109+M109)</x:f>
      </x:c>
      <x:c r="Q109" s="26" t="str">
        <x:f>IF(A109="","",H109+N109)</x:f>
      </x:c>
      <x:c r="R109" s="26" t="str">
        <x:f>IF(A109="","",I109+O109)</x:f>
      </x:c>
    </x:row>
    <x:row r="110" ht="20" customHeight="1">
      <x:c r="A110" t="str">
        <x:f>IF(106&lt;=Parametreler!$B$9*Parametreler!$B$10,106,"")</x:f>
      </x:c>
      <x:c r="B110" t="str">
        <x:f>IF(A110="","",INT((A110-1)/Parametreler!$B$10)+1)</x:f>
      </x:c>
      <x:c r="C110" t="str">
        <x:f>IF(A110="","",MOD(A110-1,Parametreler!$B$10)+1)</x:f>
      </x:c>
      <x:c r="D110" s="26" t="str">
        <x:f>IF(A110="","",INDEX('Veri Kumesi'!$B$5:$B$8,C110))</x:f>
      </x:c>
      <x:c r="E110" s="26" t="str">
        <x:f>IF(A110="","",INDEX('Veri Kumesi'!$C$5:$C$8,C110))</x:f>
      </x:c>
      <x:c r="F110" s="26" t="str">
        <x:f>IF(A110="","",INDEX('Veri Kumesi'!$D$5:$D$8,C110))</x:f>
      </x:c>
      <x:c r="G110" s="26" t="str">
        <x:f>IF(A110="","",P109)</x:f>
      </x:c>
      <x:c r="H110" s="26" t="str">
        <x:f>IF(A110="","",Q109)</x:f>
      </x:c>
      <x:c r="I110" s="26" t="str">
        <x:f>IF(A110="","",R109)</x:f>
      </x:c>
      <x:c r="J110" s="26" t="str">
        <x:f>IF(A110="","",G110*D110+H110*E110+I110)</x:f>
      </x:c>
      <x:c r="K110" s="26" t="str">
        <x:f>IF(A110="","",F110-J110)</x:f>
      </x:c>
      <x:c r="L110" s="26" t="str">
        <x:f>IF(A110="","",K110^2)</x:f>
      </x:c>
      <x:c r="M110" s="26" t="str">
        <x:f>IF(A110="","",Parametreler!$B$5*K110*D110)</x:f>
      </x:c>
      <x:c r="N110" s="26" t="str">
        <x:f>IF(A110="","",Parametreler!$B$5*K110*E110)</x:f>
      </x:c>
      <x:c r="O110" s="26" t="str">
        <x:f>IF(A110="","",Parametreler!$B$5*K110)</x:f>
      </x:c>
      <x:c r="P110" s="26" t="str">
        <x:f>IF(A110="","",G110+M110)</x:f>
      </x:c>
      <x:c r="Q110" s="26" t="str">
        <x:f>IF(A110="","",H110+N110)</x:f>
      </x:c>
      <x:c r="R110" s="26" t="str">
        <x:f>IF(A110="","",I110+O110)</x:f>
      </x:c>
    </x:row>
    <x:row r="111" ht="20" customHeight="1">
      <x:c r="A111" t="str">
        <x:f>IF(107&lt;=Parametreler!$B$9*Parametreler!$B$10,107,"")</x:f>
      </x:c>
      <x:c r="B111" t="str">
        <x:f>IF(A111="","",INT((A111-1)/Parametreler!$B$10)+1)</x:f>
      </x:c>
      <x:c r="C111" t="str">
        <x:f>IF(A111="","",MOD(A111-1,Parametreler!$B$10)+1)</x:f>
      </x:c>
      <x:c r="D111" s="26" t="str">
        <x:f>IF(A111="","",INDEX('Veri Kumesi'!$B$5:$B$8,C111))</x:f>
      </x:c>
      <x:c r="E111" s="26" t="str">
        <x:f>IF(A111="","",INDEX('Veri Kumesi'!$C$5:$C$8,C111))</x:f>
      </x:c>
      <x:c r="F111" s="26" t="str">
        <x:f>IF(A111="","",INDEX('Veri Kumesi'!$D$5:$D$8,C111))</x:f>
      </x:c>
      <x:c r="G111" s="26" t="str">
        <x:f>IF(A111="","",P110)</x:f>
      </x:c>
      <x:c r="H111" s="26" t="str">
        <x:f>IF(A111="","",Q110)</x:f>
      </x:c>
      <x:c r="I111" s="26" t="str">
        <x:f>IF(A111="","",R110)</x:f>
      </x:c>
      <x:c r="J111" s="26" t="str">
        <x:f>IF(A111="","",G111*D111+H111*E111+I111)</x:f>
      </x:c>
      <x:c r="K111" s="26" t="str">
        <x:f>IF(A111="","",F111-J111)</x:f>
      </x:c>
      <x:c r="L111" s="26" t="str">
        <x:f>IF(A111="","",K111^2)</x:f>
      </x:c>
      <x:c r="M111" s="26" t="str">
        <x:f>IF(A111="","",Parametreler!$B$5*K111*D111)</x:f>
      </x:c>
      <x:c r="N111" s="26" t="str">
        <x:f>IF(A111="","",Parametreler!$B$5*K111*E111)</x:f>
      </x:c>
      <x:c r="O111" s="26" t="str">
        <x:f>IF(A111="","",Parametreler!$B$5*K111)</x:f>
      </x:c>
      <x:c r="P111" s="26" t="str">
        <x:f>IF(A111="","",G111+M111)</x:f>
      </x:c>
      <x:c r="Q111" s="26" t="str">
        <x:f>IF(A111="","",H111+N111)</x:f>
      </x:c>
      <x:c r="R111" s="26" t="str">
        <x:f>IF(A111="","",I111+O111)</x:f>
      </x:c>
    </x:row>
    <x:row r="112" ht="20" customHeight="1">
      <x:c r="A112" t="str">
        <x:f>IF(108&lt;=Parametreler!$B$9*Parametreler!$B$10,108,"")</x:f>
      </x:c>
      <x:c r="B112" t="str">
        <x:f>IF(A112="","",INT((A112-1)/Parametreler!$B$10)+1)</x:f>
      </x:c>
      <x:c r="C112" t="str">
        <x:f>IF(A112="","",MOD(A112-1,Parametreler!$B$10)+1)</x:f>
      </x:c>
      <x:c r="D112" s="26" t="str">
        <x:f>IF(A112="","",INDEX('Veri Kumesi'!$B$5:$B$8,C112))</x:f>
      </x:c>
      <x:c r="E112" s="26" t="str">
        <x:f>IF(A112="","",INDEX('Veri Kumesi'!$C$5:$C$8,C112))</x:f>
      </x:c>
      <x:c r="F112" s="26" t="str">
        <x:f>IF(A112="","",INDEX('Veri Kumesi'!$D$5:$D$8,C112))</x:f>
      </x:c>
      <x:c r="G112" s="26" t="str">
        <x:f>IF(A112="","",P111)</x:f>
      </x:c>
      <x:c r="H112" s="26" t="str">
        <x:f>IF(A112="","",Q111)</x:f>
      </x:c>
      <x:c r="I112" s="26" t="str">
        <x:f>IF(A112="","",R111)</x:f>
      </x:c>
      <x:c r="J112" s="26" t="str">
        <x:f>IF(A112="","",G112*D112+H112*E112+I112)</x:f>
      </x:c>
      <x:c r="K112" s="26" t="str">
        <x:f>IF(A112="","",F112-J112)</x:f>
      </x:c>
      <x:c r="L112" s="26" t="str">
        <x:f>IF(A112="","",K112^2)</x:f>
      </x:c>
      <x:c r="M112" s="26" t="str">
        <x:f>IF(A112="","",Parametreler!$B$5*K112*D112)</x:f>
      </x:c>
      <x:c r="N112" s="26" t="str">
        <x:f>IF(A112="","",Parametreler!$B$5*K112*E112)</x:f>
      </x:c>
      <x:c r="O112" s="26" t="str">
        <x:f>IF(A112="","",Parametreler!$B$5*K112)</x:f>
      </x:c>
      <x:c r="P112" s="26" t="str">
        <x:f>IF(A112="","",G112+M112)</x:f>
      </x:c>
      <x:c r="Q112" s="26" t="str">
        <x:f>IF(A112="","",H112+N112)</x:f>
      </x:c>
      <x:c r="R112" s="26" t="str">
        <x:f>IF(A112="","",I112+O112)</x:f>
      </x:c>
    </x:row>
    <x:row r="113" ht="20" customHeight="1">
      <x:c r="A113" t="str">
        <x:f>IF(109&lt;=Parametreler!$B$9*Parametreler!$B$10,109,"")</x:f>
      </x:c>
      <x:c r="B113" t="str">
        <x:f>IF(A113="","",INT((A113-1)/Parametreler!$B$10)+1)</x:f>
      </x:c>
      <x:c r="C113" t="str">
        <x:f>IF(A113="","",MOD(A113-1,Parametreler!$B$10)+1)</x:f>
      </x:c>
      <x:c r="D113" s="26" t="str">
        <x:f>IF(A113="","",INDEX('Veri Kumesi'!$B$5:$B$8,C113))</x:f>
      </x:c>
      <x:c r="E113" s="26" t="str">
        <x:f>IF(A113="","",INDEX('Veri Kumesi'!$C$5:$C$8,C113))</x:f>
      </x:c>
      <x:c r="F113" s="26" t="str">
        <x:f>IF(A113="","",INDEX('Veri Kumesi'!$D$5:$D$8,C113))</x:f>
      </x:c>
      <x:c r="G113" s="26" t="str">
        <x:f>IF(A113="","",P112)</x:f>
      </x:c>
      <x:c r="H113" s="26" t="str">
        <x:f>IF(A113="","",Q112)</x:f>
      </x:c>
      <x:c r="I113" s="26" t="str">
        <x:f>IF(A113="","",R112)</x:f>
      </x:c>
      <x:c r="J113" s="26" t="str">
        <x:f>IF(A113="","",G113*D113+H113*E113+I113)</x:f>
      </x:c>
      <x:c r="K113" s="26" t="str">
        <x:f>IF(A113="","",F113-J113)</x:f>
      </x:c>
      <x:c r="L113" s="26" t="str">
        <x:f>IF(A113="","",K113^2)</x:f>
      </x:c>
      <x:c r="M113" s="26" t="str">
        <x:f>IF(A113="","",Parametreler!$B$5*K113*D113)</x:f>
      </x:c>
      <x:c r="N113" s="26" t="str">
        <x:f>IF(A113="","",Parametreler!$B$5*K113*E113)</x:f>
      </x:c>
      <x:c r="O113" s="26" t="str">
        <x:f>IF(A113="","",Parametreler!$B$5*K113)</x:f>
      </x:c>
      <x:c r="P113" s="26" t="str">
        <x:f>IF(A113="","",G113+M113)</x:f>
      </x:c>
      <x:c r="Q113" s="26" t="str">
        <x:f>IF(A113="","",H113+N113)</x:f>
      </x:c>
      <x:c r="R113" s="26" t="str">
        <x:f>IF(A113="","",I113+O113)</x:f>
      </x:c>
    </x:row>
    <x:row r="114" ht="20" customHeight="1">
      <x:c r="A114" t="str">
        <x:f>IF(110&lt;=Parametreler!$B$9*Parametreler!$B$10,110,"")</x:f>
      </x:c>
      <x:c r="B114" t="str">
        <x:f>IF(A114="","",INT((A114-1)/Parametreler!$B$10)+1)</x:f>
      </x:c>
      <x:c r="C114" t="str">
        <x:f>IF(A114="","",MOD(A114-1,Parametreler!$B$10)+1)</x:f>
      </x:c>
      <x:c r="D114" s="26" t="str">
        <x:f>IF(A114="","",INDEX('Veri Kumesi'!$B$5:$B$8,C114))</x:f>
      </x:c>
      <x:c r="E114" s="26" t="str">
        <x:f>IF(A114="","",INDEX('Veri Kumesi'!$C$5:$C$8,C114))</x:f>
      </x:c>
      <x:c r="F114" s="26" t="str">
        <x:f>IF(A114="","",INDEX('Veri Kumesi'!$D$5:$D$8,C114))</x:f>
      </x:c>
      <x:c r="G114" s="26" t="str">
        <x:f>IF(A114="","",P113)</x:f>
      </x:c>
      <x:c r="H114" s="26" t="str">
        <x:f>IF(A114="","",Q113)</x:f>
      </x:c>
      <x:c r="I114" s="26" t="str">
        <x:f>IF(A114="","",R113)</x:f>
      </x:c>
      <x:c r="J114" s="26" t="str">
        <x:f>IF(A114="","",G114*D114+H114*E114+I114)</x:f>
      </x:c>
      <x:c r="K114" s="26" t="str">
        <x:f>IF(A114="","",F114-J114)</x:f>
      </x:c>
      <x:c r="L114" s="26" t="str">
        <x:f>IF(A114="","",K114^2)</x:f>
      </x:c>
      <x:c r="M114" s="26" t="str">
        <x:f>IF(A114="","",Parametreler!$B$5*K114*D114)</x:f>
      </x:c>
      <x:c r="N114" s="26" t="str">
        <x:f>IF(A114="","",Parametreler!$B$5*K114*E114)</x:f>
      </x:c>
      <x:c r="O114" s="26" t="str">
        <x:f>IF(A114="","",Parametreler!$B$5*K114)</x:f>
      </x:c>
      <x:c r="P114" s="26" t="str">
        <x:f>IF(A114="","",G114+M114)</x:f>
      </x:c>
      <x:c r="Q114" s="26" t="str">
        <x:f>IF(A114="","",H114+N114)</x:f>
      </x:c>
      <x:c r="R114" s="26" t="str">
        <x:f>IF(A114="","",I114+O114)</x:f>
      </x:c>
    </x:row>
    <x:row r="115" ht="20" customHeight="1">
      <x:c r="A115" t="str">
        <x:f>IF(111&lt;=Parametreler!$B$9*Parametreler!$B$10,111,"")</x:f>
      </x:c>
      <x:c r="B115" t="str">
        <x:f>IF(A115="","",INT((A115-1)/Parametreler!$B$10)+1)</x:f>
      </x:c>
      <x:c r="C115" t="str">
        <x:f>IF(A115="","",MOD(A115-1,Parametreler!$B$10)+1)</x:f>
      </x:c>
      <x:c r="D115" s="26" t="str">
        <x:f>IF(A115="","",INDEX('Veri Kumesi'!$B$5:$B$8,C115))</x:f>
      </x:c>
      <x:c r="E115" s="26" t="str">
        <x:f>IF(A115="","",INDEX('Veri Kumesi'!$C$5:$C$8,C115))</x:f>
      </x:c>
      <x:c r="F115" s="26" t="str">
        <x:f>IF(A115="","",INDEX('Veri Kumesi'!$D$5:$D$8,C115))</x:f>
      </x:c>
      <x:c r="G115" s="26" t="str">
        <x:f>IF(A115="","",P114)</x:f>
      </x:c>
      <x:c r="H115" s="26" t="str">
        <x:f>IF(A115="","",Q114)</x:f>
      </x:c>
      <x:c r="I115" s="26" t="str">
        <x:f>IF(A115="","",R114)</x:f>
      </x:c>
      <x:c r="J115" s="26" t="str">
        <x:f>IF(A115="","",G115*D115+H115*E115+I115)</x:f>
      </x:c>
      <x:c r="K115" s="26" t="str">
        <x:f>IF(A115="","",F115-J115)</x:f>
      </x:c>
      <x:c r="L115" s="26" t="str">
        <x:f>IF(A115="","",K115^2)</x:f>
      </x:c>
      <x:c r="M115" s="26" t="str">
        <x:f>IF(A115="","",Parametreler!$B$5*K115*D115)</x:f>
      </x:c>
      <x:c r="N115" s="26" t="str">
        <x:f>IF(A115="","",Parametreler!$B$5*K115*E115)</x:f>
      </x:c>
      <x:c r="O115" s="26" t="str">
        <x:f>IF(A115="","",Parametreler!$B$5*K115)</x:f>
      </x:c>
      <x:c r="P115" s="26" t="str">
        <x:f>IF(A115="","",G115+M115)</x:f>
      </x:c>
      <x:c r="Q115" s="26" t="str">
        <x:f>IF(A115="","",H115+N115)</x:f>
      </x:c>
      <x:c r="R115" s="26" t="str">
        <x:f>IF(A115="","",I115+O115)</x:f>
      </x:c>
    </x:row>
    <x:row r="116" ht="20" customHeight="1">
      <x:c r="A116" t="str">
        <x:f>IF(112&lt;=Parametreler!$B$9*Parametreler!$B$10,112,"")</x:f>
      </x:c>
      <x:c r="B116" t="str">
        <x:f>IF(A116="","",INT((A116-1)/Parametreler!$B$10)+1)</x:f>
      </x:c>
      <x:c r="C116" t="str">
        <x:f>IF(A116="","",MOD(A116-1,Parametreler!$B$10)+1)</x:f>
      </x:c>
      <x:c r="D116" s="26" t="str">
        <x:f>IF(A116="","",INDEX('Veri Kumesi'!$B$5:$B$8,C116))</x:f>
      </x:c>
      <x:c r="E116" s="26" t="str">
        <x:f>IF(A116="","",INDEX('Veri Kumesi'!$C$5:$C$8,C116))</x:f>
      </x:c>
      <x:c r="F116" s="26" t="str">
        <x:f>IF(A116="","",INDEX('Veri Kumesi'!$D$5:$D$8,C116))</x:f>
      </x:c>
      <x:c r="G116" s="26" t="str">
        <x:f>IF(A116="","",P115)</x:f>
      </x:c>
      <x:c r="H116" s="26" t="str">
        <x:f>IF(A116="","",Q115)</x:f>
      </x:c>
      <x:c r="I116" s="26" t="str">
        <x:f>IF(A116="","",R115)</x:f>
      </x:c>
      <x:c r="J116" s="26" t="str">
        <x:f>IF(A116="","",G116*D116+H116*E116+I116)</x:f>
      </x:c>
      <x:c r="K116" s="26" t="str">
        <x:f>IF(A116="","",F116-J116)</x:f>
      </x:c>
      <x:c r="L116" s="26" t="str">
        <x:f>IF(A116="","",K116^2)</x:f>
      </x:c>
      <x:c r="M116" s="26" t="str">
        <x:f>IF(A116="","",Parametreler!$B$5*K116*D116)</x:f>
      </x:c>
      <x:c r="N116" s="26" t="str">
        <x:f>IF(A116="","",Parametreler!$B$5*K116*E116)</x:f>
      </x:c>
      <x:c r="O116" s="26" t="str">
        <x:f>IF(A116="","",Parametreler!$B$5*K116)</x:f>
      </x:c>
      <x:c r="P116" s="26" t="str">
        <x:f>IF(A116="","",G116+M116)</x:f>
      </x:c>
      <x:c r="Q116" s="26" t="str">
        <x:f>IF(A116="","",H116+N116)</x:f>
      </x:c>
      <x:c r="R116" s="26" t="str">
        <x:f>IF(A116="","",I116+O116)</x:f>
      </x:c>
    </x:row>
    <x:row r="117" ht="20" customHeight="1">
      <x:c r="A117" t="str">
        <x:f>IF(113&lt;=Parametreler!$B$9*Parametreler!$B$10,113,"")</x:f>
      </x:c>
      <x:c r="B117" t="str">
        <x:f>IF(A117="","",INT((A117-1)/Parametreler!$B$10)+1)</x:f>
      </x:c>
      <x:c r="C117" t="str">
        <x:f>IF(A117="","",MOD(A117-1,Parametreler!$B$10)+1)</x:f>
      </x:c>
      <x:c r="D117" s="26" t="str">
        <x:f>IF(A117="","",INDEX('Veri Kumesi'!$B$5:$B$8,C117))</x:f>
      </x:c>
      <x:c r="E117" s="26" t="str">
        <x:f>IF(A117="","",INDEX('Veri Kumesi'!$C$5:$C$8,C117))</x:f>
      </x:c>
      <x:c r="F117" s="26" t="str">
        <x:f>IF(A117="","",INDEX('Veri Kumesi'!$D$5:$D$8,C117))</x:f>
      </x:c>
      <x:c r="G117" s="26" t="str">
        <x:f>IF(A117="","",P116)</x:f>
      </x:c>
      <x:c r="H117" s="26" t="str">
        <x:f>IF(A117="","",Q116)</x:f>
      </x:c>
      <x:c r="I117" s="26" t="str">
        <x:f>IF(A117="","",R116)</x:f>
      </x:c>
      <x:c r="J117" s="26" t="str">
        <x:f>IF(A117="","",G117*D117+H117*E117+I117)</x:f>
      </x:c>
      <x:c r="K117" s="26" t="str">
        <x:f>IF(A117="","",F117-J117)</x:f>
      </x:c>
      <x:c r="L117" s="26" t="str">
        <x:f>IF(A117="","",K117^2)</x:f>
      </x:c>
      <x:c r="M117" s="26" t="str">
        <x:f>IF(A117="","",Parametreler!$B$5*K117*D117)</x:f>
      </x:c>
      <x:c r="N117" s="26" t="str">
        <x:f>IF(A117="","",Parametreler!$B$5*K117*E117)</x:f>
      </x:c>
      <x:c r="O117" s="26" t="str">
        <x:f>IF(A117="","",Parametreler!$B$5*K117)</x:f>
      </x:c>
      <x:c r="P117" s="26" t="str">
        <x:f>IF(A117="","",G117+M117)</x:f>
      </x:c>
      <x:c r="Q117" s="26" t="str">
        <x:f>IF(A117="","",H117+N117)</x:f>
      </x:c>
      <x:c r="R117" s="26" t="str">
        <x:f>IF(A117="","",I117+O117)</x:f>
      </x:c>
    </x:row>
    <x:row r="118" ht="20" customHeight="1">
      <x:c r="A118" t="str">
        <x:f>IF(114&lt;=Parametreler!$B$9*Parametreler!$B$10,114,"")</x:f>
      </x:c>
      <x:c r="B118" t="str">
        <x:f>IF(A118="","",INT((A118-1)/Parametreler!$B$10)+1)</x:f>
      </x:c>
      <x:c r="C118" t="str">
        <x:f>IF(A118="","",MOD(A118-1,Parametreler!$B$10)+1)</x:f>
      </x:c>
      <x:c r="D118" s="26" t="str">
        <x:f>IF(A118="","",INDEX('Veri Kumesi'!$B$5:$B$8,C118))</x:f>
      </x:c>
      <x:c r="E118" s="26" t="str">
        <x:f>IF(A118="","",INDEX('Veri Kumesi'!$C$5:$C$8,C118))</x:f>
      </x:c>
      <x:c r="F118" s="26" t="str">
        <x:f>IF(A118="","",INDEX('Veri Kumesi'!$D$5:$D$8,C118))</x:f>
      </x:c>
      <x:c r="G118" s="26" t="str">
        <x:f>IF(A118="","",P117)</x:f>
      </x:c>
      <x:c r="H118" s="26" t="str">
        <x:f>IF(A118="","",Q117)</x:f>
      </x:c>
      <x:c r="I118" s="26" t="str">
        <x:f>IF(A118="","",R117)</x:f>
      </x:c>
      <x:c r="J118" s="26" t="str">
        <x:f>IF(A118="","",G118*D118+H118*E118+I118)</x:f>
      </x:c>
      <x:c r="K118" s="26" t="str">
        <x:f>IF(A118="","",F118-J118)</x:f>
      </x:c>
      <x:c r="L118" s="26" t="str">
        <x:f>IF(A118="","",K118^2)</x:f>
      </x:c>
      <x:c r="M118" s="26" t="str">
        <x:f>IF(A118="","",Parametreler!$B$5*K118*D118)</x:f>
      </x:c>
      <x:c r="N118" s="26" t="str">
        <x:f>IF(A118="","",Parametreler!$B$5*K118*E118)</x:f>
      </x:c>
      <x:c r="O118" s="26" t="str">
        <x:f>IF(A118="","",Parametreler!$B$5*K118)</x:f>
      </x:c>
      <x:c r="P118" s="26" t="str">
        <x:f>IF(A118="","",G118+M118)</x:f>
      </x:c>
      <x:c r="Q118" s="26" t="str">
        <x:f>IF(A118="","",H118+N118)</x:f>
      </x:c>
      <x:c r="R118" s="26" t="str">
        <x:f>IF(A118="","",I118+O118)</x:f>
      </x:c>
    </x:row>
    <x:row r="119" ht="20" customHeight="1">
      <x:c r="A119" t="str">
        <x:f>IF(115&lt;=Parametreler!$B$9*Parametreler!$B$10,115,"")</x:f>
      </x:c>
      <x:c r="B119" t="str">
        <x:f>IF(A119="","",INT((A119-1)/Parametreler!$B$10)+1)</x:f>
      </x:c>
      <x:c r="C119" t="str">
        <x:f>IF(A119="","",MOD(A119-1,Parametreler!$B$10)+1)</x:f>
      </x:c>
      <x:c r="D119" s="26" t="str">
        <x:f>IF(A119="","",INDEX('Veri Kumesi'!$B$5:$B$8,C119))</x:f>
      </x:c>
      <x:c r="E119" s="26" t="str">
        <x:f>IF(A119="","",INDEX('Veri Kumesi'!$C$5:$C$8,C119))</x:f>
      </x:c>
      <x:c r="F119" s="26" t="str">
        <x:f>IF(A119="","",INDEX('Veri Kumesi'!$D$5:$D$8,C119))</x:f>
      </x:c>
      <x:c r="G119" s="26" t="str">
        <x:f>IF(A119="","",P118)</x:f>
      </x:c>
      <x:c r="H119" s="26" t="str">
        <x:f>IF(A119="","",Q118)</x:f>
      </x:c>
      <x:c r="I119" s="26" t="str">
        <x:f>IF(A119="","",R118)</x:f>
      </x:c>
      <x:c r="J119" s="26" t="str">
        <x:f>IF(A119="","",G119*D119+H119*E119+I119)</x:f>
      </x:c>
      <x:c r="K119" s="26" t="str">
        <x:f>IF(A119="","",F119-J119)</x:f>
      </x:c>
      <x:c r="L119" s="26" t="str">
        <x:f>IF(A119="","",K119^2)</x:f>
      </x:c>
      <x:c r="M119" s="26" t="str">
        <x:f>IF(A119="","",Parametreler!$B$5*K119*D119)</x:f>
      </x:c>
      <x:c r="N119" s="26" t="str">
        <x:f>IF(A119="","",Parametreler!$B$5*K119*E119)</x:f>
      </x:c>
      <x:c r="O119" s="26" t="str">
        <x:f>IF(A119="","",Parametreler!$B$5*K119)</x:f>
      </x:c>
      <x:c r="P119" s="26" t="str">
        <x:f>IF(A119="","",G119+M119)</x:f>
      </x:c>
      <x:c r="Q119" s="26" t="str">
        <x:f>IF(A119="","",H119+N119)</x:f>
      </x:c>
      <x:c r="R119" s="26" t="str">
        <x:f>IF(A119="","",I119+O119)</x:f>
      </x:c>
    </x:row>
    <x:row r="120" ht="20" customHeight="1">
      <x:c r="A120" t="str">
        <x:f>IF(116&lt;=Parametreler!$B$9*Parametreler!$B$10,116,"")</x:f>
      </x:c>
      <x:c r="B120" t="str">
        <x:f>IF(A120="","",INT((A120-1)/Parametreler!$B$10)+1)</x:f>
      </x:c>
      <x:c r="C120" t="str">
        <x:f>IF(A120="","",MOD(A120-1,Parametreler!$B$10)+1)</x:f>
      </x:c>
      <x:c r="D120" s="26" t="str">
        <x:f>IF(A120="","",INDEX('Veri Kumesi'!$B$5:$B$8,C120))</x:f>
      </x:c>
      <x:c r="E120" s="26" t="str">
        <x:f>IF(A120="","",INDEX('Veri Kumesi'!$C$5:$C$8,C120))</x:f>
      </x:c>
      <x:c r="F120" s="26" t="str">
        <x:f>IF(A120="","",INDEX('Veri Kumesi'!$D$5:$D$8,C120))</x:f>
      </x:c>
      <x:c r="G120" s="26" t="str">
        <x:f>IF(A120="","",P119)</x:f>
      </x:c>
      <x:c r="H120" s="26" t="str">
        <x:f>IF(A120="","",Q119)</x:f>
      </x:c>
      <x:c r="I120" s="26" t="str">
        <x:f>IF(A120="","",R119)</x:f>
      </x:c>
      <x:c r="J120" s="26" t="str">
        <x:f>IF(A120="","",G120*D120+H120*E120+I120)</x:f>
      </x:c>
      <x:c r="K120" s="26" t="str">
        <x:f>IF(A120="","",F120-J120)</x:f>
      </x:c>
      <x:c r="L120" s="26" t="str">
        <x:f>IF(A120="","",K120^2)</x:f>
      </x:c>
      <x:c r="M120" s="26" t="str">
        <x:f>IF(A120="","",Parametreler!$B$5*K120*D120)</x:f>
      </x:c>
      <x:c r="N120" s="26" t="str">
        <x:f>IF(A120="","",Parametreler!$B$5*K120*E120)</x:f>
      </x:c>
      <x:c r="O120" s="26" t="str">
        <x:f>IF(A120="","",Parametreler!$B$5*K120)</x:f>
      </x:c>
      <x:c r="P120" s="26" t="str">
        <x:f>IF(A120="","",G120+M120)</x:f>
      </x:c>
      <x:c r="Q120" s="26" t="str">
        <x:f>IF(A120="","",H120+N120)</x:f>
      </x:c>
      <x:c r="R120" s="26" t="str">
        <x:f>IF(A120="","",I120+O120)</x:f>
      </x:c>
    </x:row>
    <x:row r="121" ht="20" customHeight="1">
      <x:c r="A121" t="str">
        <x:f>IF(117&lt;=Parametreler!$B$9*Parametreler!$B$10,117,"")</x:f>
      </x:c>
      <x:c r="B121" t="str">
        <x:f>IF(A121="","",INT((A121-1)/Parametreler!$B$10)+1)</x:f>
      </x:c>
      <x:c r="C121" t="str">
        <x:f>IF(A121="","",MOD(A121-1,Parametreler!$B$10)+1)</x:f>
      </x:c>
      <x:c r="D121" s="26" t="str">
        <x:f>IF(A121="","",INDEX('Veri Kumesi'!$B$5:$B$8,C121))</x:f>
      </x:c>
      <x:c r="E121" s="26" t="str">
        <x:f>IF(A121="","",INDEX('Veri Kumesi'!$C$5:$C$8,C121))</x:f>
      </x:c>
      <x:c r="F121" s="26" t="str">
        <x:f>IF(A121="","",INDEX('Veri Kumesi'!$D$5:$D$8,C121))</x:f>
      </x:c>
      <x:c r="G121" s="26" t="str">
        <x:f>IF(A121="","",P120)</x:f>
      </x:c>
      <x:c r="H121" s="26" t="str">
        <x:f>IF(A121="","",Q120)</x:f>
      </x:c>
      <x:c r="I121" s="26" t="str">
        <x:f>IF(A121="","",R120)</x:f>
      </x:c>
      <x:c r="J121" s="26" t="str">
        <x:f>IF(A121="","",G121*D121+H121*E121+I121)</x:f>
      </x:c>
      <x:c r="K121" s="26" t="str">
        <x:f>IF(A121="","",F121-J121)</x:f>
      </x:c>
      <x:c r="L121" s="26" t="str">
        <x:f>IF(A121="","",K121^2)</x:f>
      </x:c>
      <x:c r="M121" s="26" t="str">
        <x:f>IF(A121="","",Parametreler!$B$5*K121*D121)</x:f>
      </x:c>
      <x:c r="N121" s="26" t="str">
        <x:f>IF(A121="","",Parametreler!$B$5*K121*E121)</x:f>
      </x:c>
      <x:c r="O121" s="26" t="str">
        <x:f>IF(A121="","",Parametreler!$B$5*K121)</x:f>
      </x:c>
      <x:c r="P121" s="26" t="str">
        <x:f>IF(A121="","",G121+M121)</x:f>
      </x:c>
      <x:c r="Q121" s="26" t="str">
        <x:f>IF(A121="","",H121+N121)</x:f>
      </x:c>
      <x:c r="R121" s="26" t="str">
        <x:f>IF(A121="","",I121+O121)</x:f>
      </x:c>
    </x:row>
    <x:row r="122" ht="20" customHeight="1">
      <x:c r="A122" t="str">
        <x:f>IF(118&lt;=Parametreler!$B$9*Parametreler!$B$10,118,"")</x:f>
      </x:c>
      <x:c r="B122" t="str">
        <x:f>IF(A122="","",INT((A122-1)/Parametreler!$B$10)+1)</x:f>
      </x:c>
      <x:c r="C122" t="str">
        <x:f>IF(A122="","",MOD(A122-1,Parametreler!$B$10)+1)</x:f>
      </x:c>
      <x:c r="D122" s="26" t="str">
        <x:f>IF(A122="","",INDEX('Veri Kumesi'!$B$5:$B$8,C122))</x:f>
      </x:c>
      <x:c r="E122" s="26" t="str">
        <x:f>IF(A122="","",INDEX('Veri Kumesi'!$C$5:$C$8,C122))</x:f>
      </x:c>
      <x:c r="F122" s="26" t="str">
        <x:f>IF(A122="","",INDEX('Veri Kumesi'!$D$5:$D$8,C122))</x:f>
      </x:c>
      <x:c r="G122" s="26" t="str">
        <x:f>IF(A122="","",P121)</x:f>
      </x:c>
      <x:c r="H122" s="26" t="str">
        <x:f>IF(A122="","",Q121)</x:f>
      </x:c>
      <x:c r="I122" s="26" t="str">
        <x:f>IF(A122="","",R121)</x:f>
      </x:c>
      <x:c r="J122" s="26" t="str">
        <x:f>IF(A122="","",G122*D122+H122*E122+I122)</x:f>
      </x:c>
      <x:c r="K122" s="26" t="str">
        <x:f>IF(A122="","",F122-J122)</x:f>
      </x:c>
      <x:c r="L122" s="26" t="str">
        <x:f>IF(A122="","",K122^2)</x:f>
      </x:c>
      <x:c r="M122" s="26" t="str">
        <x:f>IF(A122="","",Parametreler!$B$5*K122*D122)</x:f>
      </x:c>
      <x:c r="N122" s="26" t="str">
        <x:f>IF(A122="","",Parametreler!$B$5*K122*E122)</x:f>
      </x:c>
      <x:c r="O122" s="26" t="str">
        <x:f>IF(A122="","",Parametreler!$B$5*K122)</x:f>
      </x:c>
      <x:c r="P122" s="26" t="str">
        <x:f>IF(A122="","",G122+M122)</x:f>
      </x:c>
      <x:c r="Q122" s="26" t="str">
        <x:f>IF(A122="","",H122+N122)</x:f>
      </x:c>
      <x:c r="R122" s="26" t="str">
        <x:f>IF(A122="","",I122+O122)</x:f>
      </x:c>
    </x:row>
    <x:row r="123" ht="20" customHeight="1">
      <x:c r="A123" t="str">
        <x:f>IF(119&lt;=Parametreler!$B$9*Parametreler!$B$10,119,"")</x:f>
      </x:c>
      <x:c r="B123" t="str">
        <x:f>IF(A123="","",INT((A123-1)/Parametreler!$B$10)+1)</x:f>
      </x:c>
      <x:c r="C123" t="str">
        <x:f>IF(A123="","",MOD(A123-1,Parametreler!$B$10)+1)</x:f>
      </x:c>
      <x:c r="D123" s="26" t="str">
        <x:f>IF(A123="","",INDEX('Veri Kumesi'!$B$5:$B$8,C123))</x:f>
      </x:c>
      <x:c r="E123" s="26" t="str">
        <x:f>IF(A123="","",INDEX('Veri Kumesi'!$C$5:$C$8,C123))</x:f>
      </x:c>
      <x:c r="F123" s="26" t="str">
        <x:f>IF(A123="","",INDEX('Veri Kumesi'!$D$5:$D$8,C123))</x:f>
      </x:c>
      <x:c r="G123" s="26" t="str">
        <x:f>IF(A123="","",P122)</x:f>
      </x:c>
      <x:c r="H123" s="26" t="str">
        <x:f>IF(A123="","",Q122)</x:f>
      </x:c>
      <x:c r="I123" s="26" t="str">
        <x:f>IF(A123="","",R122)</x:f>
      </x:c>
      <x:c r="J123" s="26" t="str">
        <x:f>IF(A123="","",G123*D123+H123*E123+I123)</x:f>
      </x:c>
      <x:c r="K123" s="26" t="str">
        <x:f>IF(A123="","",F123-J123)</x:f>
      </x:c>
      <x:c r="L123" s="26" t="str">
        <x:f>IF(A123="","",K123^2)</x:f>
      </x:c>
      <x:c r="M123" s="26" t="str">
        <x:f>IF(A123="","",Parametreler!$B$5*K123*D123)</x:f>
      </x:c>
      <x:c r="N123" s="26" t="str">
        <x:f>IF(A123="","",Parametreler!$B$5*K123*E123)</x:f>
      </x:c>
      <x:c r="O123" s="26" t="str">
        <x:f>IF(A123="","",Parametreler!$B$5*K123)</x:f>
      </x:c>
      <x:c r="P123" s="26" t="str">
        <x:f>IF(A123="","",G123+M123)</x:f>
      </x:c>
      <x:c r="Q123" s="26" t="str">
        <x:f>IF(A123="","",H123+N123)</x:f>
      </x:c>
      <x:c r="R123" s="26" t="str">
        <x:f>IF(A123="","",I123+O123)</x:f>
      </x:c>
    </x:row>
    <x:row r="124" ht="20" customHeight="1">
      <x:c r="A124" t="str">
        <x:f>IF(120&lt;=Parametreler!$B$9*Parametreler!$B$10,120,"")</x:f>
      </x:c>
      <x:c r="B124" t="str">
        <x:f>IF(A124="","",INT((A124-1)/Parametreler!$B$10)+1)</x:f>
      </x:c>
      <x:c r="C124" t="str">
        <x:f>IF(A124="","",MOD(A124-1,Parametreler!$B$10)+1)</x:f>
      </x:c>
      <x:c r="D124" s="26" t="str">
        <x:f>IF(A124="","",INDEX('Veri Kumesi'!$B$5:$B$8,C124))</x:f>
      </x:c>
      <x:c r="E124" s="26" t="str">
        <x:f>IF(A124="","",INDEX('Veri Kumesi'!$C$5:$C$8,C124))</x:f>
      </x:c>
      <x:c r="F124" s="26" t="str">
        <x:f>IF(A124="","",INDEX('Veri Kumesi'!$D$5:$D$8,C124))</x:f>
      </x:c>
      <x:c r="G124" s="26" t="str">
        <x:f>IF(A124="","",P123)</x:f>
      </x:c>
      <x:c r="H124" s="26" t="str">
        <x:f>IF(A124="","",Q123)</x:f>
      </x:c>
      <x:c r="I124" s="26" t="str">
        <x:f>IF(A124="","",R123)</x:f>
      </x:c>
      <x:c r="J124" s="26" t="str">
        <x:f>IF(A124="","",G124*D124+H124*E124+I124)</x:f>
      </x:c>
      <x:c r="K124" s="26" t="str">
        <x:f>IF(A124="","",F124-J124)</x:f>
      </x:c>
      <x:c r="L124" s="26" t="str">
        <x:f>IF(A124="","",K124^2)</x:f>
      </x:c>
      <x:c r="M124" s="26" t="str">
        <x:f>IF(A124="","",Parametreler!$B$5*K124*D124)</x:f>
      </x:c>
      <x:c r="N124" s="26" t="str">
        <x:f>IF(A124="","",Parametreler!$B$5*K124*E124)</x:f>
      </x:c>
      <x:c r="O124" s="26" t="str">
        <x:f>IF(A124="","",Parametreler!$B$5*K124)</x:f>
      </x:c>
      <x:c r="P124" s="26" t="str">
        <x:f>IF(A124="","",G124+M124)</x:f>
      </x:c>
      <x:c r="Q124" s="26" t="str">
        <x:f>IF(A124="","",H124+N124)</x:f>
      </x:c>
      <x:c r="R124" s="26" t="str">
        <x:f>IF(A124="","",I124+O124)</x:f>
      </x:c>
    </x:row>
  </x:sheetData>
  <x:mergeCells>
    <x:mergeCell ref="A1:R2"/>
  </x:mergeCells>
  <x:conditionalFormatting sqref="L5:L124">
    <x:cfRule type="colorScale" priority="1">
      <x:colorScale>
        <x:cfvo type="min"/>
        <x:cfvo type="percentile" val="50"/>
        <x:cfvo type="max"/>
        <x:color rgb="FFD4F2E5"/>
        <x:color rgb="FFFFFFFF"/>
        <x:color rgb="FFF8D6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6" customHeight="1">
      <x:c r="A1" s="4" t="str">
        <x:v>PERCEPTRON | YANLIŞ SINIFLANDIRMADA GÜNCELLEME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4" ht="31" customHeight="1">
      <x:c r="A4" s="17" t="str">
        <x:v>Adım</x:v>
      </x:c>
      <x:c r="B4" s="17" t="str">
        <x:v>Epoch</x:v>
      </x:c>
      <x:c r="C4" s="17" t="str">
        <x:v>Örnek</x:v>
      </x:c>
      <x:c r="D4" s="17" t="str">
        <x:v>x1</x:v>
      </x:c>
      <x:c r="E4" s="17" t="str">
        <x:v>x2</x:v>
      </x:c>
      <x:c r="F4" s="17" t="str">
        <x:v>Hedef t</x:v>
      </x:c>
      <x:c r="G4" s="17" t="str">
        <x:v>w1 önce</x:v>
      </x:c>
      <x:c r="H4" s="17" t="str">
        <x:v>w2 önce</x:v>
      </x:c>
      <x:c r="I4" s="17" t="str">
        <x:v>bias önce</x:v>
      </x:c>
      <x:c r="J4" s="17" t="str">
        <x:v>Net</x:v>
      </x:c>
      <x:c r="K4" s="17" t="str">
        <x:v>Tahmin</x:v>
      </x:c>
      <x:c r="L4" s="17" t="str">
        <x:v>Yanlış? (1/0)</x:v>
      </x:c>
      <x:c r="M4" s="17" t="str">
        <x:v>Δw1</x:v>
      </x:c>
      <x:c r="N4" s="17" t="str">
        <x:v>Δw2</x:v>
      </x:c>
      <x:c r="O4" s="17" t="str">
        <x:v>Δbias</x:v>
      </x:c>
      <x:c r="P4" s="17" t="str">
        <x:v>w1 sonra</x:v>
      </x:c>
      <x:c r="Q4" s="17" t="str">
        <x:v>w2 sonra</x:v>
      </x:c>
      <x:c r="R4" s="17" t="str">
        <x:v>bias sonra</x:v>
      </x:c>
    </x:row>
    <x:row r="5" ht="20" customHeight="1">
      <x:c r="A5" t="n">
        <x:f>IF(1&lt;=Parametreler!$B$9*Parametreler!$B$10,1,"")</x:f>
        <x:v>1</x:v>
      </x:c>
      <x:c r="B5" t="n">
        <x:f>IF(A5="","",INT((A5-1)/Parametreler!$B$10)+1)</x:f>
        <x:v>1</x:v>
      </x:c>
      <x:c r="C5" t="n">
        <x:f>IF(A5="","",MOD(A5-1,Parametreler!$B$10)+1)</x:f>
        <x:v>1</x:v>
      </x:c>
      <x:c r="D5" s="26" t="n">
        <x:f>IF(A5="","",INDEX('Veri Kumesi'!$B$5:$B$8,C5))</x:f>
        <x:v>-1</x:v>
      </x:c>
      <x:c r="E5" s="26" t="n">
        <x:f>IF(A5="","",INDEX('Veri Kumesi'!$C$5:$C$8,C5))</x:f>
        <x:v>-1</x:v>
      </x:c>
      <x:c r="F5" s="26" t="n">
        <x:f>IF(A5="","",INDEX('Veri Kumesi'!$D$5:$D$8,C5))</x:f>
        <x:v>-1</x:v>
      </x:c>
      <x:c r="G5" s="26" t="n">
        <x:f>IF(A5="","",Parametreler!$B$6)</x:f>
        <x:v>0</x:v>
      </x:c>
      <x:c r="H5" s="26" t="n">
        <x:f>IF(A5="","",Parametreler!$B$7)</x:f>
        <x:v>0</x:v>
      </x:c>
      <x:c r="I5" s="26" t="n">
        <x:f>IF(A5="","",Parametreler!$B$8)</x:f>
        <x:v>0</x:v>
      </x:c>
      <x:c r="J5" s="26" t="n">
        <x:f>IF(A5="","",G5*D5+H5*E5+I5)</x:f>
        <x:v>0</x:v>
      </x:c>
      <x:c r="K5" s="26" t="n">
        <x:f>IF(A5="","",IF(J5&gt;=Parametreler!$B$11,1,-1))</x:f>
        <x:v>1</x:v>
      </x:c>
      <x:c r="L5" s="26" t="n">
        <x:f>IF(A5="","",IF(K5=F5,0,1))</x:f>
        <x:v>1</x:v>
      </x:c>
      <x:c r="M5" s="26" t="n">
        <x:f>IF(A5="","",Parametreler!$B$5*L5*F5*D5)</x:f>
        <x:v>0.1</x:v>
      </x:c>
      <x:c r="N5" s="26" t="n">
        <x:f>IF(A5="","",Parametreler!$B$5*L5*F5*E5)</x:f>
        <x:v>0.1</x:v>
      </x:c>
      <x:c r="O5" s="26" t="n">
        <x:f>IF(A5="","",Parametreler!$B$5*L5*F5)</x:f>
        <x:v>-0.1</x:v>
      </x:c>
      <x:c r="P5" s="26" t="n">
        <x:f>IF(A5="","",G5+M5)</x:f>
        <x:v>0.1</x:v>
      </x:c>
      <x:c r="Q5" s="26" t="n">
        <x:f>IF(A5="","",H5+N5)</x:f>
        <x:v>0.1</x:v>
      </x:c>
      <x:c r="R5" s="26" t="n">
        <x:f>IF(A5="","",I5+O5)</x:f>
        <x:v>-0.1</x:v>
      </x:c>
    </x:row>
    <x:row r="6" ht="20" customHeight="1">
      <x:c r="A6" t="n">
        <x:f>IF(2&lt;=Parametreler!$B$9*Parametreler!$B$10,2,"")</x:f>
        <x:v>2</x:v>
      </x:c>
      <x:c r="B6" t="n">
        <x:f>IF(A6="","",INT((A6-1)/Parametreler!$B$10)+1)</x:f>
        <x:v>1</x:v>
      </x:c>
      <x:c r="C6" t="n">
        <x:f>IF(A6="","",MOD(A6-1,Parametreler!$B$10)+1)</x:f>
        <x:v>2</x:v>
      </x:c>
      <x:c r="D6" s="26" t="n">
        <x:f>IF(A6="","",INDEX('Veri Kumesi'!$B$5:$B$8,C6))</x:f>
        <x:v>-1</x:v>
      </x:c>
      <x:c r="E6" s="26" t="n">
        <x:f>IF(A6="","",INDEX('Veri Kumesi'!$C$5:$C$8,C6))</x:f>
        <x:v>1</x:v>
      </x:c>
      <x:c r="F6" s="26" t="n">
        <x:f>IF(A6="","",INDEX('Veri Kumesi'!$D$5:$D$8,C6))</x:f>
        <x:v>-1</x:v>
      </x:c>
      <x:c r="G6" s="26" t="n">
        <x:f>IF(A6="","",P5)</x:f>
        <x:v>0.1</x:v>
      </x:c>
      <x:c r="H6" s="26" t="n">
        <x:f>IF(A6="","",Q5)</x:f>
        <x:v>0.1</x:v>
      </x:c>
      <x:c r="I6" s="26" t="n">
        <x:f>IF(A6="","",R5)</x:f>
        <x:v>-0.1</x:v>
      </x:c>
      <x:c r="J6" s="26" t="n">
        <x:f>IF(A6="","",G6*D6+H6*E6+I6)</x:f>
        <x:v>-0.1</x:v>
      </x:c>
      <x:c r="K6" s="26" t="n">
        <x:f>IF(A6="","",IF(J6&gt;=Parametreler!$B$11,1,-1))</x:f>
        <x:v>-1</x:v>
      </x:c>
      <x:c r="L6" s="26" t="n">
        <x:f>IF(A6="","",IF(K6=F6,0,1))</x:f>
        <x:v>0</x:v>
      </x:c>
      <x:c r="M6" s="26" t="n">
        <x:f>IF(A6="","",Parametreler!$B$5*L6*F6*D6)</x:f>
        <x:v>0</x:v>
      </x:c>
      <x:c r="N6" s="26" t="n">
        <x:f>IF(A6="","",Parametreler!$B$5*L6*F6*E6)</x:f>
        <x:v>0</x:v>
      </x:c>
      <x:c r="O6" s="26" t="n">
        <x:f>IF(A6="","",Parametreler!$B$5*L6*F6)</x:f>
        <x:v>0</x:v>
      </x:c>
      <x:c r="P6" s="26" t="n">
        <x:f>IF(A6="","",G6+M6)</x:f>
        <x:v>0.1</x:v>
      </x:c>
      <x:c r="Q6" s="26" t="n">
        <x:f>IF(A6="","",H6+N6)</x:f>
        <x:v>0.1</x:v>
      </x:c>
      <x:c r="R6" s="26" t="n">
        <x:f>IF(A6="","",I6+O6)</x:f>
        <x:v>-0.1</x:v>
      </x:c>
    </x:row>
    <x:row r="7" ht="20" customHeight="1">
      <x:c r="A7" t="n">
        <x:f>IF(3&lt;=Parametreler!$B$9*Parametreler!$B$10,3,"")</x:f>
        <x:v>3</x:v>
      </x:c>
      <x:c r="B7" t="n">
        <x:f>IF(A7="","",INT((A7-1)/Parametreler!$B$10)+1)</x:f>
        <x:v>1</x:v>
      </x:c>
      <x:c r="C7" t="n">
        <x:f>IF(A7="","",MOD(A7-1,Parametreler!$B$10)+1)</x:f>
        <x:v>3</x:v>
      </x:c>
      <x:c r="D7" s="26" t="n">
        <x:f>IF(A7="","",INDEX('Veri Kumesi'!$B$5:$B$8,C7))</x:f>
        <x:v>1</x:v>
      </x:c>
      <x:c r="E7" s="26" t="n">
        <x:f>IF(A7="","",INDEX('Veri Kumesi'!$C$5:$C$8,C7))</x:f>
        <x:v>-1</x:v>
      </x:c>
      <x:c r="F7" s="26" t="n">
        <x:f>IF(A7="","",INDEX('Veri Kumesi'!$D$5:$D$8,C7))</x:f>
        <x:v>-1</x:v>
      </x:c>
      <x:c r="G7" s="26" t="n">
        <x:f>IF(A7="","",P6)</x:f>
        <x:v>0.1</x:v>
      </x:c>
      <x:c r="H7" s="26" t="n">
        <x:f>IF(A7="","",Q6)</x:f>
        <x:v>0.1</x:v>
      </x:c>
      <x:c r="I7" s="26" t="n">
        <x:f>IF(A7="","",R6)</x:f>
        <x:v>-0.1</x:v>
      </x:c>
      <x:c r="J7" s="26" t="n">
        <x:f>IF(A7="","",G7*D7+H7*E7+I7)</x:f>
        <x:v>-0.1</x:v>
      </x:c>
      <x:c r="K7" s="26" t="n">
        <x:f>IF(A7="","",IF(J7&gt;=Parametreler!$B$11,1,-1))</x:f>
        <x:v>-1</x:v>
      </x:c>
      <x:c r="L7" s="26" t="n">
        <x:f>IF(A7="","",IF(K7=F7,0,1))</x:f>
        <x:v>0</x:v>
      </x:c>
      <x:c r="M7" s="26" t="n">
        <x:f>IF(A7="","",Parametreler!$B$5*L7*F7*D7)</x:f>
        <x:v>0</x:v>
      </x:c>
      <x:c r="N7" s="26" t="n">
        <x:f>IF(A7="","",Parametreler!$B$5*L7*F7*E7)</x:f>
        <x:v>0</x:v>
      </x:c>
      <x:c r="O7" s="26" t="n">
        <x:f>IF(A7="","",Parametreler!$B$5*L7*F7)</x:f>
        <x:v>0</x:v>
      </x:c>
      <x:c r="P7" s="26" t="n">
        <x:f>IF(A7="","",G7+M7)</x:f>
        <x:v>0.1</x:v>
      </x:c>
      <x:c r="Q7" s="26" t="n">
        <x:f>IF(A7="","",H7+N7)</x:f>
        <x:v>0.1</x:v>
      </x:c>
      <x:c r="R7" s="26" t="n">
        <x:f>IF(A7="","",I7+O7)</x:f>
        <x:v>-0.1</x:v>
      </x:c>
    </x:row>
    <x:row r="8" ht="20" customHeight="1">
      <x:c r="A8" t="n">
        <x:f>IF(4&lt;=Parametreler!$B$9*Parametreler!$B$10,4,"")</x:f>
        <x:v>4</x:v>
      </x:c>
      <x:c r="B8" t="n">
        <x:f>IF(A8="","",INT((A8-1)/Parametreler!$B$10)+1)</x:f>
        <x:v>1</x:v>
      </x:c>
      <x:c r="C8" t="n">
        <x:f>IF(A8="","",MOD(A8-1,Parametreler!$B$10)+1)</x:f>
        <x:v>4</x:v>
      </x:c>
      <x:c r="D8" s="26" t="n">
        <x:f>IF(A8="","",INDEX('Veri Kumesi'!$B$5:$B$8,C8))</x:f>
        <x:v>1</x:v>
      </x:c>
      <x:c r="E8" s="26" t="n">
        <x:f>IF(A8="","",INDEX('Veri Kumesi'!$C$5:$C$8,C8))</x:f>
        <x:v>1</x:v>
      </x:c>
      <x:c r="F8" s="26" t="n">
        <x:f>IF(A8="","",INDEX('Veri Kumesi'!$D$5:$D$8,C8))</x:f>
        <x:v>1</x:v>
      </x:c>
      <x:c r="G8" s="26" t="n">
        <x:f>IF(A8="","",P7)</x:f>
        <x:v>0.1</x:v>
      </x:c>
      <x:c r="H8" s="26" t="n">
        <x:f>IF(A8="","",Q7)</x:f>
        <x:v>0.1</x:v>
      </x:c>
      <x:c r="I8" s="26" t="n">
        <x:f>IF(A8="","",R7)</x:f>
        <x:v>-0.1</x:v>
      </x:c>
      <x:c r="J8" s="26" t="n">
        <x:f>IF(A8="","",G8*D8+H8*E8+I8)</x:f>
        <x:v>0.1</x:v>
      </x:c>
      <x:c r="K8" s="26" t="n">
        <x:f>IF(A8="","",IF(J8&gt;=Parametreler!$B$11,1,-1))</x:f>
        <x:v>1</x:v>
      </x:c>
      <x:c r="L8" s="26" t="n">
        <x:f>IF(A8="","",IF(K8=F8,0,1))</x:f>
        <x:v>0</x:v>
      </x:c>
      <x:c r="M8" s="26" t="n">
        <x:f>IF(A8="","",Parametreler!$B$5*L8*F8*D8)</x:f>
        <x:v>0</x:v>
      </x:c>
      <x:c r="N8" s="26" t="n">
        <x:f>IF(A8="","",Parametreler!$B$5*L8*F8*E8)</x:f>
        <x:v>0</x:v>
      </x:c>
      <x:c r="O8" s="26" t="n">
        <x:f>IF(A8="","",Parametreler!$B$5*L8*F8)</x:f>
        <x:v>0</x:v>
      </x:c>
      <x:c r="P8" s="26" t="n">
        <x:f>IF(A8="","",G8+M8)</x:f>
        <x:v>0.1</x:v>
      </x:c>
      <x:c r="Q8" s="26" t="n">
        <x:f>IF(A8="","",H8+N8)</x:f>
        <x:v>0.1</x:v>
      </x:c>
      <x:c r="R8" s="26" t="n">
        <x:f>IF(A8="","",I8+O8)</x:f>
        <x:v>-0.1</x:v>
      </x:c>
    </x:row>
    <x:row r="9" ht="20" customHeight="1">
      <x:c r="A9" t="n">
        <x:f>IF(5&lt;=Parametreler!$B$9*Parametreler!$B$10,5,"")</x:f>
        <x:v>5</x:v>
      </x:c>
      <x:c r="B9" t="n">
        <x:f>IF(A9="","",INT((A9-1)/Parametreler!$B$10)+1)</x:f>
        <x:v>2</x:v>
      </x:c>
      <x:c r="C9" t="n">
        <x:f>IF(A9="","",MOD(A9-1,Parametreler!$B$10)+1)</x:f>
        <x:v>1</x:v>
      </x:c>
      <x:c r="D9" s="26" t="n">
        <x:f>IF(A9="","",INDEX('Veri Kumesi'!$B$5:$B$8,C9))</x:f>
        <x:v>-1</x:v>
      </x:c>
      <x:c r="E9" s="26" t="n">
        <x:f>IF(A9="","",INDEX('Veri Kumesi'!$C$5:$C$8,C9))</x:f>
        <x:v>-1</x:v>
      </x:c>
      <x:c r="F9" s="26" t="n">
        <x:f>IF(A9="","",INDEX('Veri Kumesi'!$D$5:$D$8,C9))</x:f>
        <x:v>-1</x:v>
      </x:c>
      <x:c r="G9" s="26" t="n">
        <x:f>IF(A9="","",P8)</x:f>
        <x:v>0.1</x:v>
      </x:c>
      <x:c r="H9" s="26" t="n">
        <x:f>IF(A9="","",Q8)</x:f>
        <x:v>0.1</x:v>
      </x:c>
      <x:c r="I9" s="26" t="n">
        <x:f>IF(A9="","",R8)</x:f>
        <x:v>-0.1</x:v>
      </x:c>
      <x:c r="J9" s="26" t="n">
        <x:f>IF(A9="","",G9*D9+H9*E9+I9)</x:f>
        <x:v>-0.30000000000000004</x:v>
      </x:c>
      <x:c r="K9" s="26" t="n">
        <x:f>IF(A9="","",IF(J9&gt;=Parametreler!$B$11,1,-1))</x:f>
        <x:v>-1</x:v>
      </x:c>
      <x:c r="L9" s="26" t="n">
        <x:f>IF(A9="","",IF(K9=F9,0,1))</x:f>
        <x:v>0</x:v>
      </x:c>
      <x:c r="M9" s="26" t="n">
        <x:f>IF(A9="","",Parametreler!$B$5*L9*F9*D9)</x:f>
        <x:v>0</x:v>
      </x:c>
      <x:c r="N9" s="26" t="n">
        <x:f>IF(A9="","",Parametreler!$B$5*L9*F9*E9)</x:f>
        <x:v>0</x:v>
      </x:c>
      <x:c r="O9" s="26" t="n">
        <x:f>IF(A9="","",Parametreler!$B$5*L9*F9)</x:f>
        <x:v>0</x:v>
      </x:c>
      <x:c r="P9" s="26" t="n">
        <x:f>IF(A9="","",G9+M9)</x:f>
        <x:v>0.1</x:v>
      </x:c>
      <x:c r="Q9" s="26" t="n">
        <x:f>IF(A9="","",H9+N9)</x:f>
        <x:v>0.1</x:v>
      </x:c>
      <x:c r="R9" s="26" t="n">
        <x:f>IF(A9="","",I9+O9)</x:f>
        <x:v>-0.1</x:v>
      </x:c>
    </x:row>
    <x:row r="10" ht="20" customHeight="1">
      <x:c r="A10" t="n">
        <x:f>IF(6&lt;=Parametreler!$B$9*Parametreler!$B$10,6,"")</x:f>
        <x:v>6</x:v>
      </x:c>
      <x:c r="B10" t="n">
        <x:f>IF(A10="","",INT((A10-1)/Parametreler!$B$10)+1)</x:f>
        <x:v>2</x:v>
      </x:c>
      <x:c r="C10" t="n">
        <x:f>IF(A10="","",MOD(A10-1,Parametreler!$B$10)+1)</x:f>
        <x:v>2</x:v>
      </x:c>
      <x:c r="D10" s="26" t="n">
        <x:f>IF(A10="","",INDEX('Veri Kumesi'!$B$5:$B$8,C10))</x:f>
        <x:v>-1</x:v>
      </x:c>
      <x:c r="E10" s="26" t="n">
        <x:f>IF(A10="","",INDEX('Veri Kumesi'!$C$5:$C$8,C10))</x:f>
        <x:v>1</x:v>
      </x:c>
      <x:c r="F10" s="26" t="n">
        <x:f>IF(A10="","",INDEX('Veri Kumesi'!$D$5:$D$8,C10))</x:f>
        <x:v>-1</x:v>
      </x:c>
      <x:c r="G10" s="26" t="n">
        <x:f>IF(A10="","",P9)</x:f>
        <x:v>0.1</x:v>
      </x:c>
      <x:c r="H10" s="26" t="n">
        <x:f>IF(A10="","",Q9)</x:f>
        <x:v>0.1</x:v>
      </x:c>
      <x:c r="I10" s="26" t="n">
        <x:f>IF(A10="","",R9)</x:f>
        <x:v>-0.1</x:v>
      </x:c>
      <x:c r="J10" s="26" t="n">
        <x:f>IF(A10="","",G10*D10+H10*E10+I10)</x:f>
        <x:v>-0.1</x:v>
      </x:c>
      <x:c r="K10" s="26" t="n">
        <x:f>IF(A10="","",IF(J10&gt;=Parametreler!$B$11,1,-1))</x:f>
        <x:v>-1</x:v>
      </x:c>
      <x:c r="L10" s="26" t="n">
        <x:f>IF(A10="","",IF(K10=F10,0,1))</x:f>
        <x:v>0</x:v>
      </x:c>
      <x:c r="M10" s="26" t="n">
        <x:f>IF(A10="","",Parametreler!$B$5*L10*F10*D10)</x:f>
        <x:v>0</x:v>
      </x:c>
      <x:c r="N10" s="26" t="n">
        <x:f>IF(A10="","",Parametreler!$B$5*L10*F10*E10)</x:f>
        <x:v>0</x:v>
      </x:c>
      <x:c r="O10" s="26" t="n">
        <x:f>IF(A10="","",Parametreler!$B$5*L10*F10)</x:f>
        <x:v>0</x:v>
      </x:c>
      <x:c r="P10" s="26" t="n">
        <x:f>IF(A10="","",G10+M10)</x:f>
        <x:v>0.1</x:v>
      </x:c>
      <x:c r="Q10" s="26" t="n">
        <x:f>IF(A10="","",H10+N10)</x:f>
        <x:v>0.1</x:v>
      </x:c>
      <x:c r="R10" s="26" t="n">
        <x:f>IF(A10="","",I10+O10)</x:f>
        <x:v>-0.1</x:v>
      </x:c>
    </x:row>
    <x:row r="11" ht="20" customHeight="1">
      <x:c r="A11" t="n">
        <x:f>IF(7&lt;=Parametreler!$B$9*Parametreler!$B$10,7,"")</x:f>
        <x:v>7</x:v>
      </x:c>
      <x:c r="B11" t="n">
        <x:f>IF(A11="","",INT((A11-1)/Parametreler!$B$10)+1)</x:f>
        <x:v>2</x:v>
      </x:c>
      <x:c r="C11" t="n">
        <x:f>IF(A11="","",MOD(A11-1,Parametreler!$B$10)+1)</x:f>
        <x:v>3</x:v>
      </x:c>
      <x:c r="D11" s="26" t="n">
        <x:f>IF(A11="","",INDEX('Veri Kumesi'!$B$5:$B$8,C11))</x:f>
        <x:v>1</x:v>
      </x:c>
      <x:c r="E11" s="26" t="n">
        <x:f>IF(A11="","",INDEX('Veri Kumesi'!$C$5:$C$8,C11))</x:f>
        <x:v>-1</x:v>
      </x:c>
      <x:c r="F11" s="26" t="n">
        <x:f>IF(A11="","",INDEX('Veri Kumesi'!$D$5:$D$8,C11))</x:f>
        <x:v>-1</x:v>
      </x:c>
      <x:c r="G11" s="26" t="n">
        <x:f>IF(A11="","",P10)</x:f>
        <x:v>0.1</x:v>
      </x:c>
      <x:c r="H11" s="26" t="n">
        <x:f>IF(A11="","",Q10)</x:f>
        <x:v>0.1</x:v>
      </x:c>
      <x:c r="I11" s="26" t="n">
        <x:f>IF(A11="","",R10)</x:f>
        <x:v>-0.1</x:v>
      </x:c>
      <x:c r="J11" s="26" t="n">
        <x:f>IF(A11="","",G11*D11+H11*E11+I11)</x:f>
        <x:v>-0.1</x:v>
      </x:c>
      <x:c r="K11" s="26" t="n">
        <x:f>IF(A11="","",IF(J11&gt;=Parametreler!$B$11,1,-1))</x:f>
        <x:v>-1</x:v>
      </x:c>
      <x:c r="L11" s="26" t="n">
        <x:f>IF(A11="","",IF(K11=F11,0,1))</x:f>
        <x:v>0</x:v>
      </x:c>
      <x:c r="M11" s="26" t="n">
        <x:f>IF(A11="","",Parametreler!$B$5*L11*F11*D11)</x:f>
        <x:v>0</x:v>
      </x:c>
      <x:c r="N11" s="26" t="n">
        <x:f>IF(A11="","",Parametreler!$B$5*L11*F11*E11)</x:f>
        <x:v>0</x:v>
      </x:c>
      <x:c r="O11" s="26" t="n">
        <x:f>IF(A11="","",Parametreler!$B$5*L11*F11)</x:f>
        <x:v>0</x:v>
      </x:c>
      <x:c r="P11" s="26" t="n">
        <x:f>IF(A11="","",G11+M11)</x:f>
        <x:v>0.1</x:v>
      </x:c>
      <x:c r="Q11" s="26" t="n">
        <x:f>IF(A11="","",H11+N11)</x:f>
        <x:v>0.1</x:v>
      </x:c>
      <x:c r="R11" s="26" t="n">
        <x:f>IF(A11="","",I11+O11)</x:f>
        <x:v>-0.1</x:v>
      </x:c>
    </x:row>
    <x:row r="12" ht="20" customHeight="1">
      <x:c r="A12" t="n">
        <x:f>IF(8&lt;=Parametreler!$B$9*Parametreler!$B$10,8,"")</x:f>
        <x:v>8</x:v>
      </x:c>
      <x:c r="B12" t="n">
        <x:f>IF(A12="","",INT((A12-1)/Parametreler!$B$10)+1)</x:f>
        <x:v>2</x:v>
      </x:c>
      <x:c r="C12" t="n">
        <x:f>IF(A12="","",MOD(A12-1,Parametreler!$B$10)+1)</x:f>
        <x:v>4</x:v>
      </x:c>
      <x:c r="D12" s="26" t="n">
        <x:f>IF(A12="","",INDEX('Veri Kumesi'!$B$5:$B$8,C12))</x:f>
        <x:v>1</x:v>
      </x:c>
      <x:c r="E12" s="26" t="n">
        <x:f>IF(A12="","",INDEX('Veri Kumesi'!$C$5:$C$8,C12))</x:f>
        <x:v>1</x:v>
      </x:c>
      <x:c r="F12" s="26" t="n">
        <x:f>IF(A12="","",INDEX('Veri Kumesi'!$D$5:$D$8,C12))</x:f>
        <x:v>1</x:v>
      </x:c>
      <x:c r="G12" s="26" t="n">
        <x:f>IF(A12="","",P11)</x:f>
        <x:v>0.1</x:v>
      </x:c>
      <x:c r="H12" s="26" t="n">
        <x:f>IF(A12="","",Q11)</x:f>
        <x:v>0.1</x:v>
      </x:c>
      <x:c r="I12" s="26" t="n">
        <x:f>IF(A12="","",R11)</x:f>
        <x:v>-0.1</x:v>
      </x:c>
      <x:c r="J12" s="26" t="n">
        <x:f>IF(A12="","",G12*D12+H12*E12+I12)</x:f>
        <x:v>0.1</x:v>
      </x:c>
      <x:c r="K12" s="26" t="n">
        <x:f>IF(A12="","",IF(J12&gt;=Parametreler!$B$11,1,-1))</x:f>
        <x:v>1</x:v>
      </x:c>
      <x:c r="L12" s="26" t="n">
        <x:f>IF(A12="","",IF(K12=F12,0,1))</x:f>
        <x:v>0</x:v>
      </x:c>
      <x:c r="M12" s="26" t="n">
        <x:f>IF(A12="","",Parametreler!$B$5*L12*F12*D12)</x:f>
        <x:v>0</x:v>
      </x:c>
      <x:c r="N12" s="26" t="n">
        <x:f>IF(A12="","",Parametreler!$B$5*L12*F12*E12)</x:f>
        <x:v>0</x:v>
      </x:c>
      <x:c r="O12" s="26" t="n">
        <x:f>IF(A12="","",Parametreler!$B$5*L12*F12)</x:f>
        <x:v>0</x:v>
      </x:c>
      <x:c r="P12" s="26" t="n">
        <x:f>IF(A12="","",G12+M12)</x:f>
        <x:v>0.1</x:v>
      </x:c>
      <x:c r="Q12" s="26" t="n">
        <x:f>IF(A12="","",H12+N12)</x:f>
        <x:v>0.1</x:v>
      </x:c>
      <x:c r="R12" s="26" t="n">
        <x:f>IF(A12="","",I12+O12)</x:f>
        <x:v>-0.1</x:v>
      </x:c>
    </x:row>
    <x:row r="13" ht="20" customHeight="1">
      <x:c r="A13" t="n">
        <x:f>IF(9&lt;=Parametreler!$B$9*Parametreler!$B$10,9,"")</x:f>
        <x:v>9</x:v>
      </x:c>
      <x:c r="B13" t="n">
        <x:f>IF(A13="","",INT((A13-1)/Parametreler!$B$10)+1)</x:f>
        <x:v>3</x:v>
      </x:c>
      <x:c r="C13" t="n">
        <x:f>IF(A13="","",MOD(A13-1,Parametreler!$B$10)+1)</x:f>
        <x:v>1</x:v>
      </x:c>
      <x:c r="D13" s="26" t="n">
        <x:f>IF(A13="","",INDEX('Veri Kumesi'!$B$5:$B$8,C13))</x:f>
        <x:v>-1</x:v>
      </x:c>
      <x:c r="E13" s="26" t="n">
        <x:f>IF(A13="","",INDEX('Veri Kumesi'!$C$5:$C$8,C13))</x:f>
        <x:v>-1</x:v>
      </x:c>
      <x:c r="F13" s="26" t="n">
        <x:f>IF(A13="","",INDEX('Veri Kumesi'!$D$5:$D$8,C13))</x:f>
        <x:v>-1</x:v>
      </x:c>
      <x:c r="G13" s="26" t="n">
        <x:f>IF(A13="","",P12)</x:f>
        <x:v>0.1</x:v>
      </x:c>
      <x:c r="H13" s="26" t="n">
        <x:f>IF(A13="","",Q12)</x:f>
        <x:v>0.1</x:v>
      </x:c>
      <x:c r="I13" s="26" t="n">
        <x:f>IF(A13="","",R12)</x:f>
        <x:v>-0.1</x:v>
      </x:c>
      <x:c r="J13" s="26" t="n">
        <x:f>IF(A13="","",G13*D13+H13*E13+I13)</x:f>
        <x:v>-0.30000000000000004</x:v>
      </x:c>
      <x:c r="K13" s="26" t="n">
        <x:f>IF(A13="","",IF(J13&gt;=Parametreler!$B$11,1,-1))</x:f>
        <x:v>-1</x:v>
      </x:c>
      <x:c r="L13" s="26" t="n">
        <x:f>IF(A13="","",IF(K13=F13,0,1))</x:f>
        <x:v>0</x:v>
      </x:c>
      <x:c r="M13" s="26" t="n">
        <x:f>IF(A13="","",Parametreler!$B$5*L13*F13*D13)</x:f>
        <x:v>0</x:v>
      </x:c>
      <x:c r="N13" s="26" t="n">
        <x:f>IF(A13="","",Parametreler!$B$5*L13*F13*E13)</x:f>
        <x:v>0</x:v>
      </x:c>
      <x:c r="O13" s="26" t="n">
        <x:f>IF(A13="","",Parametreler!$B$5*L13*F13)</x:f>
        <x:v>0</x:v>
      </x:c>
      <x:c r="P13" s="26" t="n">
        <x:f>IF(A13="","",G13+M13)</x:f>
        <x:v>0.1</x:v>
      </x:c>
      <x:c r="Q13" s="26" t="n">
        <x:f>IF(A13="","",H13+N13)</x:f>
        <x:v>0.1</x:v>
      </x:c>
      <x:c r="R13" s="26" t="n">
        <x:f>IF(A13="","",I13+O13)</x:f>
        <x:v>-0.1</x:v>
      </x:c>
    </x:row>
    <x:row r="14" ht="20" customHeight="1">
      <x:c r="A14" t="n">
        <x:f>IF(10&lt;=Parametreler!$B$9*Parametreler!$B$10,10,"")</x:f>
        <x:v>10</x:v>
      </x:c>
      <x:c r="B14" t="n">
        <x:f>IF(A14="","",INT((A14-1)/Parametreler!$B$10)+1)</x:f>
        <x:v>3</x:v>
      </x:c>
      <x:c r="C14" t="n">
        <x:f>IF(A14="","",MOD(A14-1,Parametreler!$B$10)+1)</x:f>
        <x:v>2</x:v>
      </x:c>
      <x:c r="D14" s="26" t="n">
        <x:f>IF(A14="","",INDEX('Veri Kumesi'!$B$5:$B$8,C14))</x:f>
        <x:v>-1</x:v>
      </x:c>
      <x:c r="E14" s="26" t="n">
        <x:f>IF(A14="","",INDEX('Veri Kumesi'!$C$5:$C$8,C14))</x:f>
        <x:v>1</x:v>
      </x:c>
      <x:c r="F14" s="26" t="n">
        <x:f>IF(A14="","",INDEX('Veri Kumesi'!$D$5:$D$8,C14))</x:f>
        <x:v>-1</x:v>
      </x:c>
      <x:c r="G14" s="26" t="n">
        <x:f>IF(A14="","",P13)</x:f>
        <x:v>0.1</x:v>
      </x:c>
      <x:c r="H14" s="26" t="n">
        <x:f>IF(A14="","",Q13)</x:f>
        <x:v>0.1</x:v>
      </x:c>
      <x:c r="I14" s="26" t="n">
        <x:f>IF(A14="","",R13)</x:f>
        <x:v>-0.1</x:v>
      </x:c>
      <x:c r="J14" s="26" t="n">
        <x:f>IF(A14="","",G14*D14+H14*E14+I14)</x:f>
        <x:v>-0.1</x:v>
      </x:c>
      <x:c r="K14" s="26" t="n">
        <x:f>IF(A14="","",IF(J14&gt;=Parametreler!$B$11,1,-1))</x:f>
        <x:v>-1</x:v>
      </x:c>
      <x:c r="L14" s="26" t="n">
        <x:f>IF(A14="","",IF(K14=F14,0,1))</x:f>
        <x:v>0</x:v>
      </x:c>
      <x:c r="M14" s="26" t="n">
        <x:f>IF(A14="","",Parametreler!$B$5*L14*F14*D14)</x:f>
        <x:v>0</x:v>
      </x:c>
      <x:c r="N14" s="26" t="n">
        <x:f>IF(A14="","",Parametreler!$B$5*L14*F14*E14)</x:f>
        <x:v>0</x:v>
      </x:c>
      <x:c r="O14" s="26" t="n">
        <x:f>IF(A14="","",Parametreler!$B$5*L14*F14)</x:f>
        <x:v>0</x:v>
      </x:c>
      <x:c r="P14" s="26" t="n">
        <x:f>IF(A14="","",G14+M14)</x:f>
        <x:v>0.1</x:v>
      </x:c>
      <x:c r="Q14" s="26" t="n">
        <x:f>IF(A14="","",H14+N14)</x:f>
        <x:v>0.1</x:v>
      </x:c>
      <x:c r="R14" s="26" t="n">
        <x:f>IF(A14="","",I14+O14)</x:f>
        <x:v>-0.1</x:v>
      </x:c>
    </x:row>
    <x:row r="15" ht="20" customHeight="1">
      <x:c r="A15" t="n">
        <x:f>IF(11&lt;=Parametreler!$B$9*Parametreler!$B$10,11,"")</x:f>
        <x:v>11</x:v>
      </x:c>
      <x:c r="B15" t="n">
        <x:f>IF(A15="","",INT((A15-1)/Parametreler!$B$10)+1)</x:f>
        <x:v>3</x:v>
      </x:c>
      <x:c r="C15" t="n">
        <x:f>IF(A15="","",MOD(A15-1,Parametreler!$B$10)+1)</x:f>
        <x:v>3</x:v>
      </x:c>
      <x:c r="D15" s="26" t="n">
        <x:f>IF(A15="","",INDEX('Veri Kumesi'!$B$5:$B$8,C15))</x:f>
        <x:v>1</x:v>
      </x:c>
      <x:c r="E15" s="26" t="n">
        <x:f>IF(A15="","",INDEX('Veri Kumesi'!$C$5:$C$8,C15))</x:f>
        <x:v>-1</x:v>
      </x:c>
      <x:c r="F15" s="26" t="n">
        <x:f>IF(A15="","",INDEX('Veri Kumesi'!$D$5:$D$8,C15))</x:f>
        <x:v>-1</x:v>
      </x:c>
      <x:c r="G15" s="26" t="n">
        <x:f>IF(A15="","",P14)</x:f>
        <x:v>0.1</x:v>
      </x:c>
      <x:c r="H15" s="26" t="n">
        <x:f>IF(A15="","",Q14)</x:f>
        <x:v>0.1</x:v>
      </x:c>
      <x:c r="I15" s="26" t="n">
        <x:f>IF(A15="","",R14)</x:f>
        <x:v>-0.1</x:v>
      </x:c>
      <x:c r="J15" s="26" t="n">
        <x:f>IF(A15="","",G15*D15+H15*E15+I15)</x:f>
        <x:v>-0.1</x:v>
      </x:c>
      <x:c r="K15" s="26" t="n">
        <x:f>IF(A15="","",IF(J15&gt;=Parametreler!$B$11,1,-1))</x:f>
        <x:v>-1</x:v>
      </x:c>
      <x:c r="L15" s="26" t="n">
        <x:f>IF(A15="","",IF(K15=F15,0,1))</x:f>
        <x:v>0</x:v>
      </x:c>
      <x:c r="M15" s="26" t="n">
        <x:f>IF(A15="","",Parametreler!$B$5*L15*F15*D15)</x:f>
        <x:v>0</x:v>
      </x:c>
      <x:c r="N15" s="26" t="n">
        <x:f>IF(A15="","",Parametreler!$B$5*L15*F15*E15)</x:f>
        <x:v>0</x:v>
      </x:c>
      <x:c r="O15" s="26" t="n">
        <x:f>IF(A15="","",Parametreler!$B$5*L15*F15)</x:f>
        <x:v>0</x:v>
      </x:c>
      <x:c r="P15" s="26" t="n">
        <x:f>IF(A15="","",G15+M15)</x:f>
        <x:v>0.1</x:v>
      </x:c>
      <x:c r="Q15" s="26" t="n">
        <x:f>IF(A15="","",H15+N15)</x:f>
        <x:v>0.1</x:v>
      </x:c>
      <x:c r="R15" s="26" t="n">
        <x:f>IF(A15="","",I15+O15)</x:f>
        <x:v>-0.1</x:v>
      </x:c>
    </x:row>
    <x:row r="16" ht="20" customHeight="1">
      <x:c r="A16" t="n">
        <x:f>IF(12&lt;=Parametreler!$B$9*Parametreler!$B$10,12,"")</x:f>
        <x:v>12</x:v>
      </x:c>
      <x:c r="B16" t="n">
        <x:f>IF(A16="","",INT((A16-1)/Parametreler!$B$10)+1)</x:f>
        <x:v>3</x:v>
      </x:c>
      <x:c r="C16" t="n">
        <x:f>IF(A16="","",MOD(A16-1,Parametreler!$B$10)+1)</x:f>
        <x:v>4</x:v>
      </x:c>
      <x:c r="D16" s="26" t="n">
        <x:f>IF(A16="","",INDEX('Veri Kumesi'!$B$5:$B$8,C16))</x:f>
        <x:v>1</x:v>
      </x:c>
      <x:c r="E16" s="26" t="n">
        <x:f>IF(A16="","",INDEX('Veri Kumesi'!$C$5:$C$8,C16))</x:f>
        <x:v>1</x:v>
      </x:c>
      <x:c r="F16" s="26" t="n">
        <x:f>IF(A16="","",INDEX('Veri Kumesi'!$D$5:$D$8,C16))</x:f>
        <x:v>1</x:v>
      </x:c>
      <x:c r="G16" s="26" t="n">
        <x:f>IF(A16="","",P15)</x:f>
        <x:v>0.1</x:v>
      </x:c>
      <x:c r="H16" s="26" t="n">
        <x:f>IF(A16="","",Q15)</x:f>
        <x:v>0.1</x:v>
      </x:c>
      <x:c r="I16" s="26" t="n">
        <x:f>IF(A16="","",R15)</x:f>
        <x:v>-0.1</x:v>
      </x:c>
      <x:c r="J16" s="26" t="n">
        <x:f>IF(A16="","",G16*D16+H16*E16+I16)</x:f>
        <x:v>0.1</x:v>
      </x:c>
      <x:c r="K16" s="26" t="n">
        <x:f>IF(A16="","",IF(J16&gt;=Parametreler!$B$11,1,-1))</x:f>
        <x:v>1</x:v>
      </x:c>
      <x:c r="L16" s="26" t="n">
        <x:f>IF(A16="","",IF(K16=F16,0,1))</x:f>
        <x:v>0</x:v>
      </x:c>
      <x:c r="M16" s="26" t="n">
        <x:f>IF(A16="","",Parametreler!$B$5*L16*F16*D16)</x:f>
        <x:v>0</x:v>
      </x:c>
      <x:c r="N16" s="26" t="n">
        <x:f>IF(A16="","",Parametreler!$B$5*L16*F16*E16)</x:f>
        <x:v>0</x:v>
      </x:c>
      <x:c r="O16" s="26" t="n">
        <x:f>IF(A16="","",Parametreler!$B$5*L16*F16)</x:f>
        <x:v>0</x:v>
      </x:c>
      <x:c r="P16" s="26" t="n">
        <x:f>IF(A16="","",G16+M16)</x:f>
        <x:v>0.1</x:v>
      </x:c>
      <x:c r="Q16" s="26" t="n">
        <x:f>IF(A16="","",H16+N16)</x:f>
        <x:v>0.1</x:v>
      </x:c>
      <x:c r="R16" s="26" t="n">
        <x:f>IF(A16="","",I16+O16)</x:f>
        <x:v>-0.1</x:v>
      </x:c>
    </x:row>
    <x:row r="17" ht="20" customHeight="1">
      <x:c r="A17" t="n">
        <x:f>IF(13&lt;=Parametreler!$B$9*Parametreler!$B$10,13,"")</x:f>
        <x:v>13</x:v>
      </x:c>
      <x:c r="B17" t="n">
        <x:f>IF(A17="","",INT((A17-1)/Parametreler!$B$10)+1)</x:f>
        <x:v>4</x:v>
      </x:c>
      <x:c r="C17" t="n">
        <x:f>IF(A17="","",MOD(A17-1,Parametreler!$B$10)+1)</x:f>
        <x:v>1</x:v>
      </x:c>
      <x:c r="D17" s="26" t="n">
        <x:f>IF(A17="","",INDEX('Veri Kumesi'!$B$5:$B$8,C17))</x:f>
        <x:v>-1</x:v>
      </x:c>
      <x:c r="E17" s="26" t="n">
        <x:f>IF(A17="","",INDEX('Veri Kumesi'!$C$5:$C$8,C17))</x:f>
        <x:v>-1</x:v>
      </x:c>
      <x:c r="F17" s="26" t="n">
        <x:f>IF(A17="","",INDEX('Veri Kumesi'!$D$5:$D$8,C17))</x:f>
        <x:v>-1</x:v>
      </x:c>
      <x:c r="G17" s="26" t="n">
        <x:f>IF(A17="","",P16)</x:f>
        <x:v>0.1</x:v>
      </x:c>
      <x:c r="H17" s="26" t="n">
        <x:f>IF(A17="","",Q16)</x:f>
        <x:v>0.1</x:v>
      </x:c>
      <x:c r="I17" s="26" t="n">
        <x:f>IF(A17="","",R16)</x:f>
        <x:v>-0.1</x:v>
      </x:c>
      <x:c r="J17" s="26" t="n">
        <x:f>IF(A17="","",G17*D17+H17*E17+I17)</x:f>
        <x:v>-0.30000000000000004</x:v>
      </x:c>
      <x:c r="K17" s="26" t="n">
        <x:f>IF(A17="","",IF(J17&gt;=Parametreler!$B$11,1,-1))</x:f>
        <x:v>-1</x:v>
      </x:c>
      <x:c r="L17" s="26" t="n">
        <x:f>IF(A17="","",IF(K17=F17,0,1))</x:f>
        <x:v>0</x:v>
      </x:c>
      <x:c r="M17" s="26" t="n">
        <x:f>IF(A17="","",Parametreler!$B$5*L17*F17*D17)</x:f>
        <x:v>0</x:v>
      </x:c>
      <x:c r="N17" s="26" t="n">
        <x:f>IF(A17="","",Parametreler!$B$5*L17*F17*E17)</x:f>
        <x:v>0</x:v>
      </x:c>
      <x:c r="O17" s="26" t="n">
        <x:f>IF(A17="","",Parametreler!$B$5*L17*F17)</x:f>
        <x:v>0</x:v>
      </x:c>
      <x:c r="P17" s="26" t="n">
        <x:f>IF(A17="","",G17+M17)</x:f>
        <x:v>0.1</x:v>
      </x:c>
      <x:c r="Q17" s="26" t="n">
        <x:f>IF(A17="","",H17+N17)</x:f>
        <x:v>0.1</x:v>
      </x:c>
      <x:c r="R17" s="26" t="n">
        <x:f>IF(A17="","",I17+O17)</x:f>
        <x:v>-0.1</x:v>
      </x:c>
    </x:row>
    <x:row r="18" ht="20" customHeight="1">
      <x:c r="A18" t="n">
        <x:f>IF(14&lt;=Parametreler!$B$9*Parametreler!$B$10,14,"")</x:f>
        <x:v>14</x:v>
      </x:c>
      <x:c r="B18" t="n">
        <x:f>IF(A18="","",INT((A18-1)/Parametreler!$B$10)+1)</x:f>
        <x:v>4</x:v>
      </x:c>
      <x:c r="C18" t="n">
        <x:f>IF(A18="","",MOD(A18-1,Parametreler!$B$10)+1)</x:f>
        <x:v>2</x:v>
      </x:c>
      <x:c r="D18" s="26" t="n">
        <x:f>IF(A18="","",INDEX('Veri Kumesi'!$B$5:$B$8,C18))</x:f>
        <x:v>-1</x:v>
      </x:c>
      <x:c r="E18" s="26" t="n">
        <x:f>IF(A18="","",INDEX('Veri Kumesi'!$C$5:$C$8,C18))</x:f>
        <x:v>1</x:v>
      </x:c>
      <x:c r="F18" s="26" t="n">
        <x:f>IF(A18="","",INDEX('Veri Kumesi'!$D$5:$D$8,C18))</x:f>
        <x:v>-1</x:v>
      </x:c>
      <x:c r="G18" s="26" t="n">
        <x:f>IF(A18="","",P17)</x:f>
        <x:v>0.1</x:v>
      </x:c>
      <x:c r="H18" s="26" t="n">
        <x:f>IF(A18="","",Q17)</x:f>
        <x:v>0.1</x:v>
      </x:c>
      <x:c r="I18" s="26" t="n">
        <x:f>IF(A18="","",R17)</x:f>
        <x:v>-0.1</x:v>
      </x:c>
      <x:c r="J18" s="26" t="n">
        <x:f>IF(A18="","",G18*D18+H18*E18+I18)</x:f>
        <x:v>-0.1</x:v>
      </x:c>
      <x:c r="K18" s="26" t="n">
        <x:f>IF(A18="","",IF(J18&gt;=Parametreler!$B$11,1,-1))</x:f>
        <x:v>-1</x:v>
      </x:c>
      <x:c r="L18" s="26" t="n">
        <x:f>IF(A18="","",IF(K18=F18,0,1))</x:f>
        <x:v>0</x:v>
      </x:c>
      <x:c r="M18" s="26" t="n">
        <x:f>IF(A18="","",Parametreler!$B$5*L18*F18*D18)</x:f>
        <x:v>0</x:v>
      </x:c>
      <x:c r="N18" s="26" t="n">
        <x:f>IF(A18="","",Parametreler!$B$5*L18*F18*E18)</x:f>
        <x:v>0</x:v>
      </x:c>
      <x:c r="O18" s="26" t="n">
        <x:f>IF(A18="","",Parametreler!$B$5*L18*F18)</x:f>
        <x:v>0</x:v>
      </x:c>
      <x:c r="P18" s="26" t="n">
        <x:f>IF(A18="","",G18+M18)</x:f>
        <x:v>0.1</x:v>
      </x:c>
      <x:c r="Q18" s="26" t="n">
        <x:f>IF(A18="","",H18+N18)</x:f>
        <x:v>0.1</x:v>
      </x:c>
      <x:c r="R18" s="26" t="n">
        <x:f>IF(A18="","",I18+O18)</x:f>
        <x:v>-0.1</x:v>
      </x:c>
    </x:row>
    <x:row r="19" ht="20" customHeight="1">
      <x:c r="A19" t="n">
        <x:f>IF(15&lt;=Parametreler!$B$9*Parametreler!$B$10,15,"")</x:f>
        <x:v>15</x:v>
      </x:c>
      <x:c r="B19" t="n">
        <x:f>IF(A19="","",INT((A19-1)/Parametreler!$B$10)+1)</x:f>
        <x:v>4</x:v>
      </x:c>
      <x:c r="C19" t="n">
        <x:f>IF(A19="","",MOD(A19-1,Parametreler!$B$10)+1)</x:f>
        <x:v>3</x:v>
      </x:c>
      <x:c r="D19" s="26" t="n">
        <x:f>IF(A19="","",INDEX('Veri Kumesi'!$B$5:$B$8,C19))</x:f>
        <x:v>1</x:v>
      </x:c>
      <x:c r="E19" s="26" t="n">
        <x:f>IF(A19="","",INDEX('Veri Kumesi'!$C$5:$C$8,C19))</x:f>
        <x:v>-1</x:v>
      </x:c>
      <x:c r="F19" s="26" t="n">
        <x:f>IF(A19="","",INDEX('Veri Kumesi'!$D$5:$D$8,C19))</x:f>
        <x:v>-1</x:v>
      </x:c>
      <x:c r="G19" s="26" t="n">
        <x:f>IF(A19="","",P18)</x:f>
        <x:v>0.1</x:v>
      </x:c>
      <x:c r="H19" s="26" t="n">
        <x:f>IF(A19="","",Q18)</x:f>
        <x:v>0.1</x:v>
      </x:c>
      <x:c r="I19" s="26" t="n">
        <x:f>IF(A19="","",R18)</x:f>
        <x:v>-0.1</x:v>
      </x:c>
      <x:c r="J19" s="26" t="n">
        <x:f>IF(A19="","",G19*D19+H19*E19+I19)</x:f>
        <x:v>-0.1</x:v>
      </x:c>
      <x:c r="K19" s="26" t="n">
        <x:f>IF(A19="","",IF(J19&gt;=Parametreler!$B$11,1,-1))</x:f>
        <x:v>-1</x:v>
      </x:c>
      <x:c r="L19" s="26" t="n">
        <x:f>IF(A19="","",IF(K19=F19,0,1))</x:f>
        <x:v>0</x:v>
      </x:c>
      <x:c r="M19" s="26" t="n">
        <x:f>IF(A19="","",Parametreler!$B$5*L19*F19*D19)</x:f>
        <x:v>0</x:v>
      </x:c>
      <x:c r="N19" s="26" t="n">
        <x:f>IF(A19="","",Parametreler!$B$5*L19*F19*E19)</x:f>
        <x:v>0</x:v>
      </x:c>
      <x:c r="O19" s="26" t="n">
        <x:f>IF(A19="","",Parametreler!$B$5*L19*F19)</x:f>
        <x:v>0</x:v>
      </x:c>
      <x:c r="P19" s="26" t="n">
        <x:f>IF(A19="","",G19+M19)</x:f>
        <x:v>0.1</x:v>
      </x:c>
      <x:c r="Q19" s="26" t="n">
        <x:f>IF(A19="","",H19+N19)</x:f>
        <x:v>0.1</x:v>
      </x:c>
      <x:c r="R19" s="26" t="n">
        <x:f>IF(A19="","",I19+O19)</x:f>
        <x:v>-0.1</x:v>
      </x:c>
    </x:row>
    <x:row r="20" ht="20" customHeight="1">
      <x:c r="A20" t="n">
        <x:f>IF(16&lt;=Parametreler!$B$9*Parametreler!$B$10,16,"")</x:f>
        <x:v>16</x:v>
      </x:c>
      <x:c r="B20" t="n">
        <x:f>IF(A20="","",INT((A20-1)/Parametreler!$B$10)+1)</x:f>
        <x:v>4</x:v>
      </x:c>
      <x:c r="C20" t="n">
        <x:f>IF(A20="","",MOD(A20-1,Parametreler!$B$10)+1)</x:f>
        <x:v>4</x:v>
      </x:c>
      <x:c r="D20" s="26" t="n">
        <x:f>IF(A20="","",INDEX('Veri Kumesi'!$B$5:$B$8,C20))</x:f>
        <x:v>1</x:v>
      </x:c>
      <x:c r="E20" s="26" t="n">
        <x:f>IF(A20="","",INDEX('Veri Kumesi'!$C$5:$C$8,C20))</x:f>
        <x:v>1</x:v>
      </x:c>
      <x:c r="F20" s="26" t="n">
        <x:f>IF(A20="","",INDEX('Veri Kumesi'!$D$5:$D$8,C20))</x:f>
        <x:v>1</x:v>
      </x:c>
      <x:c r="G20" s="26" t="n">
        <x:f>IF(A20="","",P19)</x:f>
        <x:v>0.1</x:v>
      </x:c>
      <x:c r="H20" s="26" t="n">
        <x:f>IF(A20="","",Q19)</x:f>
        <x:v>0.1</x:v>
      </x:c>
      <x:c r="I20" s="26" t="n">
        <x:f>IF(A20="","",R19)</x:f>
        <x:v>-0.1</x:v>
      </x:c>
      <x:c r="J20" s="26" t="n">
        <x:f>IF(A20="","",G20*D20+H20*E20+I20)</x:f>
        <x:v>0.1</x:v>
      </x:c>
      <x:c r="K20" s="26" t="n">
        <x:f>IF(A20="","",IF(J20&gt;=Parametreler!$B$11,1,-1))</x:f>
        <x:v>1</x:v>
      </x:c>
      <x:c r="L20" s="26" t="n">
        <x:f>IF(A20="","",IF(K20=F20,0,1))</x:f>
        <x:v>0</x:v>
      </x:c>
      <x:c r="M20" s="26" t="n">
        <x:f>IF(A20="","",Parametreler!$B$5*L20*F20*D20)</x:f>
        <x:v>0</x:v>
      </x:c>
      <x:c r="N20" s="26" t="n">
        <x:f>IF(A20="","",Parametreler!$B$5*L20*F20*E20)</x:f>
        <x:v>0</x:v>
      </x:c>
      <x:c r="O20" s="26" t="n">
        <x:f>IF(A20="","",Parametreler!$B$5*L20*F20)</x:f>
        <x:v>0</x:v>
      </x:c>
      <x:c r="P20" s="26" t="n">
        <x:f>IF(A20="","",G20+M20)</x:f>
        <x:v>0.1</x:v>
      </x:c>
      <x:c r="Q20" s="26" t="n">
        <x:f>IF(A20="","",H20+N20)</x:f>
        <x:v>0.1</x:v>
      </x:c>
      <x:c r="R20" s="26" t="n">
        <x:f>IF(A20="","",I20+O20)</x:f>
        <x:v>-0.1</x:v>
      </x:c>
    </x:row>
    <x:row r="21" ht="20" customHeight="1">
      <x:c r="A21" t="n">
        <x:f>IF(17&lt;=Parametreler!$B$9*Parametreler!$B$10,17,"")</x:f>
        <x:v>17</x:v>
      </x:c>
      <x:c r="B21" t="n">
        <x:f>IF(A21="","",INT((A21-1)/Parametreler!$B$10)+1)</x:f>
        <x:v>5</x:v>
      </x:c>
      <x:c r="C21" t="n">
        <x:f>IF(A21="","",MOD(A21-1,Parametreler!$B$10)+1)</x:f>
        <x:v>1</x:v>
      </x:c>
      <x:c r="D21" s="26" t="n">
        <x:f>IF(A21="","",INDEX('Veri Kumesi'!$B$5:$B$8,C21))</x:f>
        <x:v>-1</x:v>
      </x:c>
      <x:c r="E21" s="26" t="n">
        <x:f>IF(A21="","",INDEX('Veri Kumesi'!$C$5:$C$8,C21))</x:f>
        <x:v>-1</x:v>
      </x:c>
      <x:c r="F21" s="26" t="n">
        <x:f>IF(A21="","",INDEX('Veri Kumesi'!$D$5:$D$8,C21))</x:f>
        <x:v>-1</x:v>
      </x:c>
      <x:c r="G21" s="26" t="n">
        <x:f>IF(A21="","",P20)</x:f>
        <x:v>0.1</x:v>
      </x:c>
      <x:c r="H21" s="26" t="n">
        <x:f>IF(A21="","",Q20)</x:f>
        <x:v>0.1</x:v>
      </x:c>
      <x:c r="I21" s="26" t="n">
        <x:f>IF(A21="","",R20)</x:f>
        <x:v>-0.1</x:v>
      </x:c>
      <x:c r="J21" s="26" t="n">
        <x:f>IF(A21="","",G21*D21+H21*E21+I21)</x:f>
        <x:v>-0.30000000000000004</x:v>
      </x:c>
      <x:c r="K21" s="26" t="n">
        <x:f>IF(A21="","",IF(J21&gt;=Parametreler!$B$11,1,-1))</x:f>
        <x:v>-1</x:v>
      </x:c>
      <x:c r="L21" s="26" t="n">
        <x:f>IF(A21="","",IF(K21=F21,0,1))</x:f>
        <x:v>0</x:v>
      </x:c>
      <x:c r="M21" s="26" t="n">
        <x:f>IF(A21="","",Parametreler!$B$5*L21*F21*D21)</x:f>
        <x:v>0</x:v>
      </x:c>
      <x:c r="N21" s="26" t="n">
        <x:f>IF(A21="","",Parametreler!$B$5*L21*F21*E21)</x:f>
        <x:v>0</x:v>
      </x:c>
      <x:c r="O21" s="26" t="n">
        <x:f>IF(A21="","",Parametreler!$B$5*L21*F21)</x:f>
        <x:v>0</x:v>
      </x:c>
      <x:c r="P21" s="26" t="n">
        <x:f>IF(A21="","",G21+M21)</x:f>
        <x:v>0.1</x:v>
      </x:c>
      <x:c r="Q21" s="26" t="n">
        <x:f>IF(A21="","",H21+N21)</x:f>
        <x:v>0.1</x:v>
      </x:c>
      <x:c r="R21" s="26" t="n">
        <x:f>IF(A21="","",I21+O21)</x:f>
        <x:v>-0.1</x:v>
      </x:c>
    </x:row>
    <x:row r="22" ht="20" customHeight="1">
      <x:c r="A22" t="n">
        <x:f>IF(18&lt;=Parametreler!$B$9*Parametreler!$B$10,18,"")</x:f>
        <x:v>18</x:v>
      </x:c>
      <x:c r="B22" t="n">
        <x:f>IF(A22="","",INT((A22-1)/Parametreler!$B$10)+1)</x:f>
        <x:v>5</x:v>
      </x:c>
      <x:c r="C22" t="n">
        <x:f>IF(A22="","",MOD(A22-1,Parametreler!$B$10)+1)</x:f>
        <x:v>2</x:v>
      </x:c>
      <x:c r="D22" s="26" t="n">
        <x:f>IF(A22="","",INDEX('Veri Kumesi'!$B$5:$B$8,C22))</x:f>
        <x:v>-1</x:v>
      </x:c>
      <x:c r="E22" s="26" t="n">
        <x:f>IF(A22="","",INDEX('Veri Kumesi'!$C$5:$C$8,C22))</x:f>
        <x:v>1</x:v>
      </x:c>
      <x:c r="F22" s="26" t="n">
        <x:f>IF(A22="","",INDEX('Veri Kumesi'!$D$5:$D$8,C22))</x:f>
        <x:v>-1</x:v>
      </x:c>
      <x:c r="G22" s="26" t="n">
        <x:f>IF(A22="","",P21)</x:f>
        <x:v>0.1</x:v>
      </x:c>
      <x:c r="H22" s="26" t="n">
        <x:f>IF(A22="","",Q21)</x:f>
        <x:v>0.1</x:v>
      </x:c>
      <x:c r="I22" s="26" t="n">
        <x:f>IF(A22="","",R21)</x:f>
        <x:v>-0.1</x:v>
      </x:c>
      <x:c r="J22" s="26" t="n">
        <x:f>IF(A22="","",G22*D22+H22*E22+I22)</x:f>
        <x:v>-0.1</x:v>
      </x:c>
      <x:c r="K22" s="26" t="n">
        <x:f>IF(A22="","",IF(J22&gt;=Parametreler!$B$11,1,-1))</x:f>
        <x:v>-1</x:v>
      </x:c>
      <x:c r="L22" s="26" t="n">
        <x:f>IF(A22="","",IF(K22=F22,0,1))</x:f>
        <x:v>0</x:v>
      </x:c>
      <x:c r="M22" s="26" t="n">
        <x:f>IF(A22="","",Parametreler!$B$5*L22*F22*D22)</x:f>
        <x:v>0</x:v>
      </x:c>
      <x:c r="N22" s="26" t="n">
        <x:f>IF(A22="","",Parametreler!$B$5*L22*F22*E22)</x:f>
        <x:v>0</x:v>
      </x:c>
      <x:c r="O22" s="26" t="n">
        <x:f>IF(A22="","",Parametreler!$B$5*L22*F22)</x:f>
        <x:v>0</x:v>
      </x:c>
      <x:c r="P22" s="26" t="n">
        <x:f>IF(A22="","",G22+M22)</x:f>
        <x:v>0.1</x:v>
      </x:c>
      <x:c r="Q22" s="26" t="n">
        <x:f>IF(A22="","",H22+N22)</x:f>
        <x:v>0.1</x:v>
      </x:c>
      <x:c r="R22" s="26" t="n">
        <x:f>IF(A22="","",I22+O22)</x:f>
        <x:v>-0.1</x:v>
      </x:c>
    </x:row>
    <x:row r="23" ht="20" customHeight="1">
      <x:c r="A23" t="n">
        <x:f>IF(19&lt;=Parametreler!$B$9*Parametreler!$B$10,19,"")</x:f>
        <x:v>19</x:v>
      </x:c>
      <x:c r="B23" t="n">
        <x:f>IF(A23="","",INT((A23-1)/Parametreler!$B$10)+1)</x:f>
        <x:v>5</x:v>
      </x:c>
      <x:c r="C23" t="n">
        <x:f>IF(A23="","",MOD(A23-1,Parametreler!$B$10)+1)</x:f>
        <x:v>3</x:v>
      </x:c>
      <x:c r="D23" s="26" t="n">
        <x:f>IF(A23="","",INDEX('Veri Kumesi'!$B$5:$B$8,C23))</x:f>
        <x:v>1</x:v>
      </x:c>
      <x:c r="E23" s="26" t="n">
        <x:f>IF(A23="","",INDEX('Veri Kumesi'!$C$5:$C$8,C23))</x:f>
        <x:v>-1</x:v>
      </x:c>
      <x:c r="F23" s="26" t="n">
        <x:f>IF(A23="","",INDEX('Veri Kumesi'!$D$5:$D$8,C23))</x:f>
        <x:v>-1</x:v>
      </x:c>
      <x:c r="G23" s="26" t="n">
        <x:f>IF(A23="","",P22)</x:f>
        <x:v>0.1</x:v>
      </x:c>
      <x:c r="H23" s="26" t="n">
        <x:f>IF(A23="","",Q22)</x:f>
        <x:v>0.1</x:v>
      </x:c>
      <x:c r="I23" s="26" t="n">
        <x:f>IF(A23="","",R22)</x:f>
        <x:v>-0.1</x:v>
      </x:c>
      <x:c r="J23" s="26" t="n">
        <x:f>IF(A23="","",G23*D23+H23*E23+I23)</x:f>
        <x:v>-0.1</x:v>
      </x:c>
      <x:c r="K23" s="26" t="n">
        <x:f>IF(A23="","",IF(J23&gt;=Parametreler!$B$11,1,-1))</x:f>
        <x:v>-1</x:v>
      </x:c>
      <x:c r="L23" s="26" t="n">
        <x:f>IF(A23="","",IF(K23=F23,0,1))</x:f>
        <x:v>0</x:v>
      </x:c>
      <x:c r="M23" s="26" t="n">
        <x:f>IF(A23="","",Parametreler!$B$5*L23*F23*D23)</x:f>
        <x:v>0</x:v>
      </x:c>
      <x:c r="N23" s="26" t="n">
        <x:f>IF(A23="","",Parametreler!$B$5*L23*F23*E23)</x:f>
        <x:v>0</x:v>
      </x:c>
      <x:c r="O23" s="26" t="n">
        <x:f>IF(A23="","",Parametreler!$B$5*L23*F23)</x:f>
        <x:v>0</x:v>
      </x:c>
      <x:c r="P23" s="26" t="n">
        <x:f>IF(A23="","",G23+M23)</x:f>
        <x:v>0.1</x:v>
      </x:c>
      <x:c r="Q23" s="26" t="n">
        <x:f>IF(A23="","",H23+N23)</x:f>
        <x:v>0.1</x:v>
      </x:c>
      <x:c r="R23" s="26" t="n">
        <x:f>IF(A23="","",I23+O23)</x:f>
        <x:v>-0.1</x:v>
      </x:c>
    </x:row>
    <x:row r="24" ht="20" customHeight="1">
      <x:c r="A24" t="n">
        <x:f>IF(20&lt;=Parametreler!$B$9*Parametreler!$B$10,20,"")</x:f>
        <x:v>20</x:v>
      </x:c>
      <x:c r="B24" t="n">
        <x:f>IF(A24="","",INT((A24-1)/Parametreler!$B$10)+1)</x:f>
        <x:v>5</x:v>
      </x:c>
      <x:c r="C24" t="n">
        <x:f>IF(A24="","",MOD(A24-1,Parametreler!$B$10)+1)</x:f>
        <x:v>4</x:v>
      </x:c>
      <x:c r="D24" s="26" t="n">
        <x:f>IF(A24="","",INDEX('Veri Kumesi'!$B$5:$B$8,C24))</x:f>
        <x:v>1</x:v>
      </x:c>
      <x:c r="E24" s="26" t="n">
        <x:f>IF(A24="","",INDEX('Veri Kumesi'!$C$5:$C$8,C24))</x:f>
        <x:v>1</x:v>
      </x:c>
      <x:c r="F24" s="26" t="n">
        <x:f>IF(A24="","",INDEX('Veri Kumesi'!$D$5:$D$8,C24))</x:f>
        <x:v>1</x:v>
      </x:c>
      <x:c r="G24" s="26" t="n">
        <x:f>IF(A24="","",P23)</x:f>
        <x:v>0.1</x:v>
      </x:c>
      <x:c r="H24" s="26" t="n">
        <x:f>IF(A24="","",Q23)</x:f>
        <x:v>0.1</x:v>
      </x:c>
      <x:c r="I24" s="26" t="n">
        <x:f>IF(A24="","",R23)</x:f>
        <x:v>-0.1</x:v>
      </x:c>
      <x:c r="J24" s="26" t="n">
        <x:f>IF(A24="","",G24*D24+H24*E24+I24)</x:f>
        <x:v>0.1</x:v>
      </x:c>
      <x:c r="K24" s="26" t="n">
        <x:f>IF(A24="","",IF(J24&gt;=Parametreler!$B$11,1,-1))</x:f>
        <x:v>1</x:v>
      </x:c>
      <x:c r="L24" s="26" t="n">
        <x:f>IF(A24="","",IF(K24=F24,0,1))</x:f>
        <x:v>0</x:v>
      </x:c>
      <x:c r="M24" s="26" t="n">
        <x:f>IF(A24="","",Parametreler!$B$5*L24*F24*D24)</x:f>
        <x:v>0</x:v>
      </x:c>
      <x:c r="N24" s="26" t="n">
        <x:f>IF(A24="","",Parametreler!$B$5*L24*F24*E24)</x:f>
        <x:v>0</x:v>
      </x:c>
      <x:c r="O24" s="26" t="n">
        <x:f>IF(A24="","",Parametreler!$B$5*L24*F24)</x:f>
        <x:v>0</x:v>
      </x:c>
      <x:c r="P24" s="26" t="n">
        <x:f>IF(A24="","",G24+M24)</x:f>
        <x:v>0.1</x:v>
      </x:c>
      <x:c r="Q24" s="26" t="n">
        <x:f>IF(A24="","",H24+N24)</x:f>
        <x:v>0.1</x:v>
      </x:c>
      <x:c r="R24" s="26" t="n">
        <x:f>IF(A24="","",I24+O24)</x:f>
        <x:v>-0.1</x:v>
      </x:c>
    </x:row>
    <x:row r="25" ht="20" customHeight="1">
      <x:c r="A25" t="n">
        <x:f>IF(21&lt;=Parametreler!$B$9*Parametreler!$B$10,21,"")</x:f>
        <x:v>21</x:v>
      </x:c>
      <x:c r="B25" t="n">
        <x:f>IF(A25="","",INT((A25-1)/Parametreler!$B$10)+1)</x:f>
        <x:v>6</x:v>
      </x:c>
      <x:c r="C25" t="n">
        <x:f>IF(A25="","",MOD(A25-1,Parametreler!$B$10)+1)</x:f>
        <x:v>1</x:v>
      </x:c>
      <x:c r="D25" s="26" t="n">
        <x:f>IF(A25="","",INDEX('Veri Kumesi'!$B$5:$B$8,C25))</x:f>
        <x:v>-1</x:v>
      </x:c>
      <x:c r="E25" s="26" t="n">
        <x:f>IF(A25="","",INDEX('Veri Kumesi'!$C$5:$C$8,C25))</x:f>
        <x:v>-1</x:v>
      </x:c>
      <x:c r="F25" s="26" t="n">
        <x:f>IF(A25="","",INDEX('Veri Kumesi'!$D$5:$D$8,C25))</x:f>
        <x:v>-1</x:v>
      </x:c>
      <x:c r="G25" s="26" t="n">
        <x:f>IF(A25="","",P24)</x:f>
        <x:v>0.1</x:v>
      </x:c>
      <x:c r="H25" s="26" t="n">
        <x:f>IF(A25="","",Q24)</x:f>
        <x:v>0.1</x:v>
      </x:c>
      <x:c r="I25" s="26" t="n">
        <x:f>IF(A25="","",R24)</x:f>
        <x:v>-0.1</x:v>
      </x:c>
      <x:c r="J25" s="26" t="n">
        <x:f>IF(A25="","",G25*D25+H25*E25+I25)</x:f>
        <x:v>-0.30000000000000004</x:v>
      </x:c>
      <x:c r="K25" s="26" t="n">
        <x:f>IF(A25="","",IF(J25&gt;=Parametreler!$B$11,1,-1))</x:f>
        <x:v>-1</x:v>
      </x:c>
      <x:c r="L25" s="26" t="n">
        <x:f>IF(A25="","",IF(K25=F25,0,1))</x:f>
        <x:v>0</x:v>
      </x:c>
      <x:c r="M25" s="26" t="n">
        <x:f>IF(A25="","",Parametreler!$B$5*L25*F25*D25)</x:f>
        <x:v>0</x:v>
      </x:c>
      <x:c r="N25" s="26" t="n">
        <x:f>IF(A25="","",Parametreler!$B$5*L25*F25*E25)</x:f>
        <x:v>0</x:v>
      </x:c>
      <x:c r="O25" s="26" t="n">
        <x:f>IF(A25="","",Parametreler!$B$5*L25*F25)</x:f>
        <x:v>0</x:v>
      </x:c>
      <x:c r="P25" s="26" t="n">
        <x:f>IF(A25="","",G25+M25)</x:f>
        <x:v>0.1</x:v>
      </x:c>
      <x:c r="Q25" s="26" t="n">
        <x:f>IF(A25="","",H25+N25)</x:f>
        <x:v>0.1</x:v>
      </x:c>
      <x:c r="R25" s="26" t="n">
        <x:f>IF(A25="","",I25+O25)</x:f>
        <x:v>-0.1</x:v>
      </x:c>
    </x:row>
    <x:row r="26" ht="20" customHeight="1">
      <x:c r="A26" t="n">
        <x:f>IF(22&lt;=Parametreler!$B$9*Parametreler!$B$10,22,"")</x:f>
        <x:v>22</x:v>
      </x:c>
      <x:c r="B26" t="n">
        <x:f>IF(A26="","",INT((A26-1)/Parametreler!$B$10)+1)</x:f>
        <x:v>6</x:v>
      </x:c>
      <x:c r="C26" t="n">
        <x:f>IF(A26="","",MOD(A26-1,Parametreler!$B$10)+1)</x:f>
        <x:v>2</x:v>
      </x:c>
      <x:c r="D26" s="26" t="n">
        <x:f>IF(A26="","",INDEX('Veri Kumesi'!$B$5:$B$8,C26))</x:f>
        <x:v>-1</x:v>
      </x:c>
      <x:c r="E26" s="26" t="n">
        <x:f>IF(A26="","",INDEX('Veri Kumesi'!$C$5:$C$8,C26))</x:f>
        <x:v>1</x:v>
      </x:c>
      <x:c r="F26" s="26" t="n">
        <x:f>IF(A26="","",INDEX('Veri Kumesi'!$D$5:$D$8,C26))</x:f>
        <x:v>-1</x:v>
      </x:c>
      <x:c r="G26" s="26" t="n">
        <x:f>IF(A26="","",P25)</x:f>
        <x:v>0.1</x:v>
      </x:c>
      <x:c r="H26" s="26" t="n">
        <x:f>IF(A26="","",Q25)</x:f>
        <x:v>0.1</x:v>
      </x:c>
      <x:c r="I26" s="26" t="n">
        <x:f>IF(A26="","",R25)</x:f>
        <x:v>-0.1</x:v>
      </x:c>
      <x:c r="J26" s="26" t="n">
        <x:f>IF(A26="","",G26*D26+H26*E26+I26)</x:f>
        <x:v>-0.1</x:v>
      </x:c>
      <x:c r="K26" s="26" t="n">
        <x:f>IF(A26="","",IF(J26&gt;=Parametreler!$B$11,1,-1))</x:f>
        <x:v>-1</x:v>
      </x:c>
      <x:c r="L26" s="26" t="n">
        <x:f>IF(A26="","",IF(K26=F26,0,1))</x:f>
        <x:v>0</x:v>
      </x:c>
      <x:c r="M26" s="26" t="n">
        <x:f>IF(A26="","",Parametreler!$B$5*L26*F26*D26)</x:f>
        <x:v>0</x:v>
      </x:c>
      <x:c r="N26" s="26" t="n">
        <x:f>IF(A26="","",Parametreler!$B$5*L26*F26*E26)</x:f>
        <x:v>0</x:v>
      </x:c>
      <x:c r="O26" s="26" t="n">
        <x:f>IF(A26="","",Parametreler!$B$5*L26*F26)</x:f>
        <x:v>0</x:v>
      </x:c>
      <x:c r="P26" s="26" t="n">
        <x:f>IF(A26="","",G26+M26)</x:f>
        <x:v>0.1</x:v>
      </x:c>
      <x:c r="Q26" s="26" t="n">
        <x:f>IF(A26="","",H26+N26)</x:f>
        <x:v>0.1</x:v>
      </x:c>
      <x:c r="R26" s="26" t="n">
        <x:f>IF(A26="","",I26+O26)</x:f>
        <x:v>-0.1</x:v>
      </x:c>
    </x:row>
    <x:row r="27" ht="20" customHeight="1">
      <x:c r="A27" t="n">
        <x:f>IF(23&lt;=Parametreler!$B$9*Parametreler!$B$10,23,"")</x:f>
        <x:v>23</x:v>
      </x:c>
      <x:c r="B27" t="n">
        <x:f>IF(A27="","",INT((A27-1)/Parametreler!$B$10)+1)</x:f>
        <x:v>6</x:v>
      </x:c>
      <x:c r="C27" t="n">
        <x:f>IF(A27="","",MOD(A27-1,Parametreler!$B$10)+1)</x:f>
        <x:v>3</x:v>
      </x:c>
      <x:c r="D27" s="26" t="n">
        <x:f>IF(A27="","",INDEX('Veri Kumesi'!$B$5:$B$8,C27))</x:f>
        <x:v>1</x:v>
      </x:c>
      <x:c r="E27" s="26" t="n">
        <x:f>IF(A27="","",INDEX('Veri Kumesi'!$C$5:$C$8,C27))</x:f>
        <x:v>-1</x:v>
      </x:c>
      <x:c r="F27" s="26" t="n">
        <x:f>IF(A27="","",INDEX('Veri Kumesi'!$D$5:$D$8,C27))</x:f>
        <x:v>-1</x:v>
      </x:c>
      <x:c r="G27" s="26" t="n">
        <x:f>IF(A27="","",P26)</x:f>
        <x:v>0.1</x:v>
      </x:c>
      <x:c r="H27" s="26" t="n">
        <x:f>IF(A27="","",Q26)</x:f>
        <x:v>0.1</x:v>
      </x:c>
      <x:c r="I27" s="26" t="n">
        <x:f>IF(A27="","",R26)</x:f>
        <x:v>-0.1</x:v>
      </x:c>
      <x:c r="J27" s="26" t="n">
        <x:f>IF(A27="","",G27*D27+H27*E27+I27)</x:f>
        <x:v>-0.1</x:v>
      </x:c>
      <x:c r="K27" s="26" t="n">
        <x:f>IF(A27="","",IF(J27&gt;=Parametreler!$B$11,1,-1))</x:f>
        <x:v>-1</x:v>
      </x:c>
      <x:c r="L27" s="26" t="n">
        <x:f>IF(A27="","",IF(K27=F27,0,1))</x:f>
        <x:v>0</x:v>
      </x:c>
      <x:c r="M27" s="26" t="n">
        <x:f>IF(A27="","",Parametreler!$B$5*L27*F27*D27)</x:f>
        <x:v>0</x:v>
      </x:c>
      <x:c r="N27" s="26" t="n">
        <x:f>IF(A27="","",Parametreler!$B$5*L27*F27*E27)</x:f>
        <x:v>0</x:v>
      </x:c>
      <x:c r="O27" s="26" t="n">
        <x:f>IF(A27="","",Parametreler!$B$5*L27*F27)</x:f>
        <x:v>0</x:v>
      </x:c>
      <x:c r="P27" s="26" t="n">
        <x:f>IF(A27="","",G27+M27)</x:f>
        <x:v>0.1</x:v>
      </x:c>
      <x:c r="Q27" s="26" t="n">
        <x:f>IF(A27="","",H27+N27)</x:f>
        <x:v>0.1</x:v>
      </x:c>
      <x:c r="R27" s="26" t="n">
        <x:f>IF(A27="","",I27+O27)</x:f>
        <x:v>-0.1</x:v>
      </x:c>
    </x:row>
    <x:row r="28" ht="20" customHeight="1">
      <x:c r="A28" t="n">
        <x:f>IF(24&lt;=Parametreler!$B$9*Parametreler!$B$10,24,"")</x:f>
        <x:v>24</x:v>
      </x:c>
      <x:c r="B28" t="n">
        <x:f>IF(A28="","",INT((A28-1)/Parametreler!$B$10)+1)</x:f>
        <x:v>6</x:v>
      </x:c>
      <x:c r="C28" t="n">
        <x:f>IF(A28="","",MOD(A28-1,Parametreler!$B$10)+1)</x:f>
        <x:v>4</x:v>
      </x:c>
      <x:c r="D28" s="26" t="n">
        <x:f>IF(A28="","",INDEX('Veri Kumesi'!$B$5:$B$8,C28))</x:f>
        <x:v>1</x:v>
      </x:c>
      <x:c r="E28" s="26" t="n">
        <x:f>IF(A28="","",INDEX('Veri Kumesi'!$C$5:$C$8,C28))</x:f>
        <x:v>1</x:v>
      </x:c>
      <x:c r="F28" s="26" t="n">
        <x:f>IF(A28="","",INDEX('Veri Kumesi'!$D$5:$D$8,C28))</x:f>
        <x:v>1</x:v>
      </x:c>
      <x:c r="G28" s="26" t="n">
        <x:f>IF(A28="","",P27)</x:f>
        <x:v>0.1</x:v>
      </x:c>
      <x:c r="H28" s="26" t="n">
        <x:f>IF(A28="","",Q27)</x:f>
        <x:v>0.1</x:v>
      </x:c>
      <x:c r="I28" s="26" t="n">
        <x:f>IF(A28="","",R27)</x:f>
        <x:v>-0.1</x:v>
      </x:c>
      <x:c r="J28" s="26" t="n">
        <x:f>IF(A28="","",G28*D28+H28*E28+I28)</x:f>
        <x:v>0.1</x:v>
      </x:c>
      <x:c r="K28" s="26" t="n">
        <x:f>IF(A28="","",IF(J28&gt;=Parametreler!$B$11,1,-1))</x:f>
        <x:v>1</x:v>
      </x:c>
      <x:c r="L28" s="26" t="n">
        <x:f>IF(A28="","",IF(K28=F28,0,1))</x:f>
        <x:v>0</x:v>
      </x:c>
      <x:c r="M28" s="26" t="n">
        <x:f>IF(A28="","",Parametreler!$B$5*L28*F28*D28)</x:f>
        <x:v>0</x:v>
      </x:c>
      <x:c r="N28" s="26" t="n">
        <x:f>IF(A28="","",Parametreler!$B$5*L28*F28*E28)</x:f>
        <x:v>0</x:v>
      </x:c>
      <x:c r="O28" s="26" t="n">
        <x:f>IF(A28="","",Parametreler!$B$5*L28*F28)</x:f>
        <x:v>0</x:v>
      </x:c>
      <x:c r="P28" s="26" t="n">
        <x:f>IF(A28="","",G28+M28)</x:f>
        <x:v>0.1</x:v>
      </x:c>
      <x:c r="Q28" s="26" t="n">
        <x:f>IF(A28="","",H28+N28)</x:f>
        <x:v>0.1</x:v>
      </x:c>
      <x:c r="R28" s="26" t="n">
        <x:f>IF(A28="","",I28+O28)</x:f>
        <x:v>-0.1</x:v>
      </x:c>
    </x:row>
    <x:row r="29" ht="20" customHeight="1">
      <x:c r="A29" t="n">
        <x:f>IF(25&lt;=Parametreler!$B$9*Parametreler!$B$10,25,"")</x:f>
        <x:v>25</x:v>
      </x:c>
      <x:c r="B29" t="n">
        <x:f>IF(A29="","",INT((A29-1)/Parametreler!$B$10)+1)</x:f>
        <x:v>7</x:v>
      </x:c>
      <x:c r="C29" t="n">
        <x:f>IF(A29="","",MOD(A29-1,Parametreler!$B$10)+1)</x:f>
        <x:v>1</x:v>
      </x:c>
      <x:c r="D29" s="26" t="n">
        <x:f>IF(A29="","",INDEX('Veri Kumesi'!$B$5:$B$8,C29))</x:f>
        <x:v>-1</x:v>
      </x:c>
      <x:c r="E29" s="26" t="n">
        <x:f>IF(A29="","",INDEX('Veri Kumesi'!$C$5:$C$8,C29))</x:f>
        <x:v>-1</x:v>
      </x:c>
      <x:c r="F29" s="26" t="n">
        <x:f>IF(A29="","",INDEX('Veri Kumesi'!$D$5:$D$8,C29))</x:f>
        <x:v>-1</x:v>
      </x:c>
      <x:c r="G29" s="26" t="n">
        <x:f>IF(A29="","",P28)</x:f>
        <x:v>0.1</x:v>
      </x:c>
      <x:c r="H29" s="26" t="n">
        <x:f>IF(A29="","",Q28)</x:f>
        <x:v>0.1</x:v>
      </x:c>
      <x:c r="I29" s="26" t="n">
        <x:f>IF(A29="","",R28)</x:f>
        <x:v>-0.1</x:v>
      </x:c>
      <x:c r="J29" s="26" t="n">
        <x:f>IF(A29="","",G29*D29+H29*E29+I29)</x:f>
        <x:v>-0.30000000000000004</x:v>
      </x:c>
      <x:c r="K29" s="26" t="n">
        <x:f>IF(A29="","",IF(J29&gt;=Parametreler!$B$11,1,-1))</x:f>
        <x:v>-1</x:v>
      </x:c>
      <x:c r="L29" s="26" t="n">
        <x:f>IF(A29="","",IF(K29=F29,0,1))</x:f>
        <x:v>0</x:v>
      </x:c>
      <x:c r="M29" s="26" t="n">
        <x:f>IF(A29="","",Parametreler!$B$5*L29*F29*D29)</x:f>
        <x:v>0</x:v>
      </x:c>
      <x:c r="N29" s="26" t="n">
        <x:f>IF(A29="","",Parametreler!$B$5*L29*F29*E29)</x:f>
        <x:v>0</x:v>
      </x:c>
      <x:c r="O29" s="26" t="n">
        <x:f>IF(A29="","",Parametreler!$B$5*L29*F29)</x:f>
        <x:v>0</x:v>
      </x:c>
      <x:c r="P29" s="26" t="n">
        <x:f>IF(A29="","",G29+M29)</x:f>
        <x:v>0.1</x:v>
      </x:c>
      <x:c r="Q29" s="26" t="n">
        <x:f>IF(A29="","",H29+N29)</x:f>
        <x:v>0.1</x:v>
      </x:c>
      <x:c r="R29" s="26" t="n">
        <x:f>IF(A29="","",I29+O29)</x:f>
        <x:v>-0.1</x:v>
      </x:c>
    </x:row>
    <x:row r="30" ht="20" customHeight="1">
      <x:c r="A30" t="n">
        <x:f>IF(26&lt;=Parametreler!$B$9*Parametreler!$B$10,26,"")</x:f>
        <x:v>26</x:v>
      </x:c>
      <x:c r="B30" t="n">
        <x:f>IF(A30="","",INT((A30-1)/Parametreler!$B$10)+1)</x:f>
        <x:v>7</x:v>
      </x:c>
      <x:c r="C30" t="n">
        <x:f>IF(A30="","",MOD(A30-1,Parametreler!$B$10)+1)</x:f>
        <x:v>2</x:v>
      </x:c>
      <x:c r="D30" s="26" t="n">
        <x:f>IF(A30="","",INDEX('Veri Kumesi'!$B$5:$B$8,C30))</x:f>
        <x:v>-1</x:v>
      </x:c>
      <x:c r="E30" s="26" t="n">
        <x:f>IF(A30="","",INDEX('Veri Kumesi'!$C$5:$C$8,C30))</x:f>
        <x:v>1</x:v>
      </x:c>
      <x:c r="F30" s="26" t="n">
        <x:f>IF(A30="","",INDEX('Veri Kumesi'!$D$5:$D$8,C30))</x:f>
        <x:v>-1</x:v>
      </x:c>
      <x:c r="G30" s="26" t="n">
        <x:f>IF(A30="","",P29)</x:f>
        <x:v>0.1</x:v>
      </x:c>
      <x:c r="H30" s="26" t="n">
        <x:f>IF(A30="","",Q29)</x:f>
        <x:v>0.1</x:v>
      </x:c>
      <x:c r="I30" s="26" t="n">
        <x:f>IF(A30="","",R29)</x:f>
        <x:v>-0.1</x:v>
      </x:c>
      <x:c r="J30" s="26" t="n">
        <x:f>IF(A30="","",G30*D30+H30*E30+I30)</x:f>
        <x:v>-0.1</x:v>
      </x:c>
      <x:c r="K30" s="26" t="n">
        <x:f>IF(A30="","",IF(J30&gt;=Parametreler!$B$11,1,-1))</x:f>
        <x:v>-1</x:v>
      </x:c>
      <x:c r="L30" s="26" t="n">
        <x:f>IF(A30="","",IF(K30=F30,0,1))</x:f>
        <x:v>0</x:v>
      </x:c>
      <x:c r="M30" s="26" t="n">
        <x:f>IF(A30="","",Parametreler!$B$5*L30*F30*D30)</x:f>
        <x:v>0</x:v>
      </x:c>
      <x:c r="N30" s="26" t="n">
        <x:f>IF(A30="","",Parametreler!$B$5*L30*F30*E30)</x:f>
        <x:v>0</x:v>
      </x:c>
      <x:c r="O30" s="26" t="n">
        <x:f>IF(A30="","",Parametreler!$B$5*L30*F30)</x:f>
        <x:v>0</x:v>
      </x:c>
      <x:c r="P30" s="26" t="n">
        <x:f>IF(A30="","",G30+M30)</x:f>
        <x:v>0.1</x:v>
      </x:c>
      <x:c r="Q30" s="26" t="n">
        <x:f>IF(A30="","",H30+N30)</x:f>
        <x:v>0.1</x:v>
      </x:c>
      <x:c r="R30" s="26" t="n">
        <x:f>IF(A30="","",I30+O30)</x:f>
        <x:v>-0.1</x:v>
      </x:c>
    </x:row>
    <x:row r="31" ht="20" customHeight="1">
      <x:c r="A31" t="n">
        <x:f>IF(27&lt;=Parametreler!$B$9*Parametreler!$B$10,27,"")</x:f>
        <x:v>27</x:v>
      </x:c>
      <x:c r="B31" t="n">
        <x:f>IF(A31="","",INT((A31-1)/Parametreler!$B$10)+1)</x:f>
        <x:v>7</x:v>
      </x:c>
      <x:c r="C31" t="n">
        <x:f>IF(A31="","",MOD(A31-1,Parametreler!$B$10)+1)</x:f>
        <x:v>3</x:v>
      </x:c>
      <x:c r="D31" s="26" t="n">
        <x:f>IF(A31="","",INDEX('Veri Kumesi'!$B$5:$B$8,C31))</x:f>
        <x:v>1</x:v>
      </x:c>
      <x:c r="E31" s="26" t="n">
        <x:f>IF(A31="","",INDEX('Veri Kumesi'!$C$5:$C$8,C31))</x:f>
        <x:v>-1</x:v>
      </x:c>
      <x:c r="F31" s="26" t="n">
        <x:f>IF(A31="","",INDEX('Veri Kumesi'!$D$5:$D$8,C31))</x:f>
        <x:v>-1</x:v>
      </x:c>
      <x:c r="G31" s="26" t="n">
        <x:f>IF(A31="","",P30)</x:f>
        <x:v>0.1</x:v>
      </x:c>
      <x:c r="H31" s="26" t="n">
        <x:f>IF(A31="","",Q30)</x:f>
        <x:v>0.1</x:v>
      </x:c>
      <x:c r="I31" s="26" t="n">
        <x:f>IF(A31="","",R30)</x:f>
        <x:v>-0.1</x:v>
      </x:c>
      <x:c r="J31" s="26" t="n">
        <x:f>IF(A31="","",G31*D31+H31*E31+I31)</x:f>
        <x:v>-0.1</x:v>
      </x:c>
      <x:c r="K31" s="26" t="n">
        <x:f>IF(A31="","",IF(J31&gt;=Parametreler!$B$11,1,-1))</x:f>
        <x:v>-1</x:v>
      </x:c>
      <x:c r="L31" s="26" t="n">
        <x:f>IF(A31="","",IF(K31=F31,0,1))</x:f>
        <x:v>0</x:v>
      </x:c>
      <x:c r="M31" s="26" t="n">
        <x:f>IF(A31="","",Parametreler!$B$5*L31*F31*D31)</x:f>
        <x:v>0</x:v>
      </x:c>
      <x:c r="N31" s="26" t="n">
        <x:f>IF(A31="","",Parametreler!$B$5*L31*F31*E31)</x:f>
        <x:v>0</x:v>
      </x:c>
      <x:c r="O31" s="26" t="n">
        <x:f>IF(A31="","",Parametreler!$B$5*L31*F31)</x:f>
        <x:v>0</x:v>
      </x:c>
      <x:c r="P31" s="26" t="n">
        <x:f>IF(A31="","",G31+M31)</x:f>
        <x:v>0.1</x:v>
      </x:c>
      <x:c r="Q31" s="26" t="n">
        <x:f>IF(A31="","",H31+N31)</x:f>
        <x:v>0.1</x:v>
      </x:c>
      <x:c r="R31" s="26" t="n">
        <x:f>IF(A31="","",I31+O31)</x:f>
        <x:v>-0.1</x:v>
      </x:c>
    </x:row>
    <x:row r="32" ht="20" customHeight="1">
      <x:c r="A32" t="n">
        <x:f>IF(28&lt;=Parametreler!$B$9*Parametreler!$B$10,28,"")</x:f>
        <x:v>28</x:v>
      </x:c>
      <x:c r="B32" t="n">
        <x:f>IF(A32="","",INT((A32-1)/Parametreler!$B$10)+1)</x:f>
        <x:v>7</x:v>
      </x:c>
      <x:c r="C32" t="n">
        <x:f>IF(A32="","",MOD(A32-1,Parametreler!$B$10)+1)</x:f>
        <x:v>4</x:v>
      </x:c>
      <x:c r="D32" s="26" t="n">
        <x:f>IF(A32="","",INDEX('Veri Kumesi'!$B$5:$B$8,C32))</x:f>
        <x:v>1</x:v>
      </x:c>
      <x:c r="E32" s="26" t="n">
        <x:f>IF(A32="","",INDEX('Veri Kumesi'!$C$5:$C$8,C32))</x:f>
        <x:v>1</x:v>
      </x:c>
      <x:c r="F32" s="26" t="n">
        <x:f>IF(A32="","",INDEX('Veri Kumesi'!$D$5:$D$8,C32))</x:f>
        <x:v>1</x:v>
      </x:c>
      <x:c r="G32" s="26" t="n">
        <x:f>IF(A32="","",P31)</x:f>
        <x:v>0.1</x:v>
      </x:c>
      <x:c r="H32" s="26" t="n">
        <x:f>IF(A32="","",Q31)</x:f>
        <x:v>0.1</x:v>
      </x:c>
      <x:c r="I32" s="26" t="n">
        <x:f>IF(A32="","",R31)</x:f>
        <x:v>-0.1</x:v>
      </x:c>
      <x:c r="J32" s="26" t="n">
        <x:f>IF(A32="","",G32*D32+H32*E32+I32)</x:f>
        <x:v>0.1</x:v>
      </x:c>
      <x:c r="K32" s="26" t="n">
        <x:f>IF(A32="","",IF(J32&gt;=Parametreler!$B$11,1,-1))</x:f>
        <x:v>1</x:v>
      </x:c>
      <x:c r="L32" s="26" t="n">
        <x:f>IF(A32="","",IF(K32=F32,0,1))</x:f>
        <x:v>0</x:v>
      </x:c>
      <x:c r="M32" s="26" t="n">
        <x:f>IF(A32="","",Parametreler!$B$5*L32*F32*D32)</x:f>
        <x:v>0</x:v>
      </x:c>
      <x:c r="N32" s="26" t="n">
        <x:f>IF(A32="","",Parametreler!$B$5*L32*F32*E32)</x:f>
        <x:v>0</x:v>
      </x:c>
      <x:c r="O32" s="26" t="n">
        <x:f>IF(A32="","",Parametreler!$B$5*L32*F32)</x:f>
        <x:v>0</x:v>
      </x:c>
      <x:c r="P32" s="26" t="n">
        <x:f>IF(A32="","",G32+M32)</x:f>
        <x:v>0.1</x:v>
      </x:c>
      <x:c r="Q32" s="26" t="n">
        <x:f>IF(A32="","",H32+N32)</x:f>
        <x:v>0.1</x:v>
      </x:c>
      <x:c r="R32" s="26" t="n">
        <x:f>IF(A32="","",I32+O32)</x:f>
        <x:v>-0.1</x:v>
      </x:c>
    </x:row>
    <x:row r="33" ht="20" customHeight="1">
      <x:c r="A33" t="n">
        <x:f>IF(29&lt;=Parametreler!$B$9*Parametreler!$B$10,29,"")</x:f>
        <x:v>29</x:v>
      </x:c>
      <x:c r="B33" t="n">
        <x:f>IF(A33="","",INT((A33-1)/Parametreler!$B$10)+1)</x:f>
        <x:v>8</x:v>
      </x:c>
      <x:c r="C33" t="n">
        <x:f>IF(A33="","",MOD(A33-1,Parametreler!$B$10)+1)</x:f>
        <x:v>1</x:v>
      </x:c>
      <x:c r="D33" s="26" t="n">
        <x:f>IF(A33="","",INDEX('Veri Kumesi'!$B$5:$B$8,C33))</x:f>
        <x:v>-1</x:v>
      </x:c>
      <x:c r="E33" s="26" t="n">
        <x:f>IF(A33="","",INDEX('Veri Kumesi'!$C$5:$C$8,C33))</x:f>
        <x:v>-1</x:v>
      </x:c>
      <x:c r="F33" s="26" t="n">
        <x:f>IF(A33="","",INDEX('Veri Kumesi'!$D$5:$D$8,C33))</x:f>
        <x:v>-1</x:v>
      </x:c>
      <x:c r="G33" s="26" t="n">
        <x:f>IF(A33="","",P32)</x:f>
        <x:v>0.1</x:v>
      </x:c>
      <x:c r="H33" s="26" t="n">
        <x:f>IF(A33="","",Q32)</x:f>
        <x:v>0.1</x:v>
      </x:c>
      <x:c r="I33" s="26" t="n">
        <x:f>IF(A33="","",R32)</x:f>
        <x:v>-0.1</x:v>
      </x:c>
      <x:c r="J33" s="26" t="n">
        <x:f>IF(A33="","",G33*D33+H33*E33+I33)</x:f>
        <x:v>-0.30000000000000004</x:v>
      </x:c>
      <x:c r="K33" s="26" t="n">
        <x:f>IF(A33="","",IF(J33&gt;=Parametreler!$B$11,1,-1))</x:f>
        <x:v>-1</x:v>
      </x:c>
      <x:c r="L33" s="26" t="n">
        <x:f>IF(A33="","",IF(K33=F33,0,1))</x:f>
        <x:v>0</x:v>
      </x:c>
      <x:c r="M33" s="26" t="n">
        <x:f>IF(A33="","",Parametreler!$B$5*L33*F33*D33)</x:f>
        <x:v>0</x:v>
      </x:c>
      <x:c r="N33" s="26" t="n">
        <x:f>IF(A33="","",Parametreler!$B$5*L33*F33*E33)</x:f>
        <x:v>0</x:v>
      </x:c>
      <x:c r="O33" s="26" t="n">
        <x:f>IF(A33="","",Parametreler!$B$5*L33*F33)</x:f>
        <x:v>0</x:v>
      </x:c>
      <x:c r="P33" s="26" t="n">
        <x:f>IF(A33="","",G33+M33)</x:f>
        <x:v>0.1</x:v>
      </x:c>
      <x:c r="Q33" s="26" t="n">
        <x:f>IF(A33="","",H33+N33)</x:f>
        <x:v>0.1</x:v>
      </x:c>
      <x:c r="R33" s="26" t="n">
        <x:f>IF(A33="","",I33+O33)</x:f>
        <x:v>-0.1</x:v>
      </x:c>
    </x:row>
    <x:row r="34" ht="20" customHeight="1">
      <x:c r="A34" t="n">
        <x:f>IF(30&lt;=Parametreler!$B$9*Parametreler!$B$10,30,"")</x:f>
        <x:v>30</x:v>
      </x:c>
      <x:c r="B34" t="n">
        <x:f>IF(A34="","",INT((A34-1)/Parametreler!$B$10)+1)</x:f>
        <x:v>8</x:v>
      </x:c>
      <x:c r="C34" t="n">
        <x:f>IF(A34="","",MOD(A34-1,Parametreler!$B$10)+1)</x:f>
        <x:v>2</x:v>
      </x:c>
      <x:c r="D34" s="26" t="n">
        <x:f>IF(A34="","",INDEX('Veri Kumesi'!$B$5:$B$8,C34))</x:f>
        <x:v>-1</x:v>
      </x:c>
      <x:c r="E34" s="26" t="n">
        <x:f>IF(A34="","",INDEX('Veri Kumesi'!$C$5:$C$8,C34))</x:f>
        <x:v>1</x:v>
      </x:c>
      <x:c r="F34" s="26" t="n">
        <x:f>IF(A34="","",INDEX('Veri Kumesi'!$D$5:$D$8,C34))</x:f>
        <x:v>-1</x:v>
      </x:c>
      <x:c r="G34" s="26" t="n">
        <x:f>IF(A34="","",P33)</x:f>
        <x:v>0.1</x:v>
      </x:c>
      <x:c r="H34" s="26" t="n">
        <x:f>IF(A34="","",Q33)</x:f>
        <x:v>0.1</x:v>
      </x:c>
      <x:c r="I34" s="26" t="n">
        <x:f>IF(A34="","",R33)</x:f>
        <x:v>-0.1</x:v>
      </x:c>
      <x:c r="J34" s="26" t="n">
        <x:f>IF(A34="","",G34*D34+H34*E34+I34)</x:f>
        <x:v>-0.1</x:v>
      </x:c>
      <x:c r="K34" s="26" t="n">
        <x:f>IF(A34="","",IF(J34&gt;=Parametreler!$B$11,1,-1))</x:f>
        <x:v>-1</x:v>
      </x:c>
      <x:c r="L34" s="26" t="n">
        <x:f>IF(A34="","",IF(K34=F34,0,1))</x:f>
        <x:v>0</x:v>
      </x:c>
      <x:c r="M34" s="26" t="n">
        <x:f>IF(A34="","",Parametreler!$B$5*L34*F34*D34)</x:f>
        <x:v>0</x:v>
      </x:c>
      <x:c r="N34" s="26" t="n">
        <x:f>IF(A34="","",Parametreler!$B$5*L34*F34*E34)</x:f>
        <x:v>0</x:v>
      </x:c>
      <x:c r="O34" s="26" t="n">
        <x:f>IF(A34="","",Parametreler!$B$5*L34*F34)</x:f>
        <x:v>0</x:v>
      </x:c>
      <x:c r="P34" s="26" t="n">
        <x:f>IF(A34="","",G34+M34)</x:f>
        <x:v>0.1</x:v>
      </x:c>
      <x:c r="Q34" s="26" t="n">
        <x:f>IF(A34="","",H34+N34)</x:f>
        <x:v>0.1</x:v>
      </x:c>
      <x:c r="R34" s="26" t="n">
        <x:f>IF(A34="","",I34+O34)</x:f>
        <x:v>-0.1</x:v>
      </x:c>
    </x:row>
    <x:row r="35" ht="20" customHeight="1">
      <x:c r="A35" t="n">
        <x:f>IF(31&lt;=Parametreler!$B$9*Parametreler!$B$10,31,"")</x:f>
        <x:v>31</x:v>
      </x:c>
      <x:c r="B35" t="n">
        <x:f>IF(A35="","",INT((A35-1)/Parametreler!$B$10)+1)</x:f>
        <x:v>8</x:v>
      </x:c>
      <x:c r="C35" t="n">
        <x:f>IF(A35="","",MOD(A35-1,Parametreler!$B$10)+1)</x:f>
        <x:v>3</x:v>
      </x:c>
      <x:c r="D35" s="26" t="n">
        <x:f>IF(A35="","",INDEX('Veri Kumesi'!$B$5:$B$8,C35))</x:f>
        <x:v>1</x:v>
      </x:c>
      <x:c r="E35" s="26" t="n">
        <x:f>IF(A35="","",INDEX('Veri Kumesi'!$C$5:$C$8,C35))</x:f>
        <x:v>-1</x:v>
      </x:c>
      <x:c r="F35" s="26" t="n">
        <x:f>IF(A35="","",INDEX('Veri Kumesi'!$D$5:$D$8,C35))</x:f>
        <x:v>-1</x:v>
      </x:c>
      <x:c r="G35" s="26" t="n">
        <x:f>IF(A35="","",P34)</x:f>
        <x:v>0.1</x:v>
      </x:c>
      <x:c r="H35" s="26" t="n">
        <x:f>IF(A35="","",Q34)</x:f>
        <x:v>0.1</x:v>
      </x:c>
      <x:c r="I35" s="26" t="n">
        <x:f>IF(A35="","",R34)</x:f>
        <x:v>-0.1</x:v>
      </x:c>
      <x:c r="J35" s="26" t="n">
        <x:f>IF(A35="","",G35*D35+H35*E35+I35)</x:f>
        <x:v>-0.1</x:v>
      </x:c>
      <x:c r="K35" s="26" t="n">
        <x:f>IF(A35="","",IF(J35&gt;=Parametreler!$B$11,1,-1))</x:f>
        <x:v>-1</x:v>
      </x:c>
      <x:c r="L35" s="26" t="n">
        <x:f>IF(A35="","",IF(K35=F35,0,1))</x:f>
        <x:v>0</x:v>
      </x:c>
      <x:c r="M35" s="26" t="n">
        <x:f>IF(A35="","",Parametreler!$B$5*L35*F35*D35)</x:f>
        <x:v>0</x:v>
      </x:c>
      <x:c r="N35" s="26" t="n">
        <x:f>IF(A35="","",Parametreler!$B$5*L35*F35*E35)</x:f>
        <x:v>0</x:v>
      </x:c>
      <x:c r="O35" s="26" t="n">
        <x:f>IF(A35="","",Parametreler!$B$5*L35*F35)</x:f>
        <x:v>0</x:v>
      </x:c>
      <x:c r="P35" s="26" t="n">
        <x:f>IF(A35="","",G35+M35)</x:f>
        <x:v>0.1</x:v>
      </x:c>
      <x:c r="Q35" s="26" t="n">
        <x:f>IF(A35="","",H35+N35)</x:f>
        <x:v>0.1</x:v>
      </x:c>
      <x:c r="R35" s="26" t="n">
        <x:f>IF(A35="","",I35+O35)</x:f>
        <x:v>-0.1</x:v>
      </x:c>
    </x:row>
    <x:row r="36" ht="20" customHeight="1">
      <x:c r="A36" t="n">
        <x:f>IF(32&lt;=Parametreler!$B$9*Parametreler!$B$10,32,"")</x:f>
        <x:v>32</x:v>
      </x:c>
      <x:c r="B36" t="n">
        <x:f>IF(A36="","",INT((A36-1)/Parametreler!$B$10)+1)</x:f>
        <x:v>8</x:v>
      </x:c>
      <x:c r="C36" t="n">
        <x:f>IF(A36="","",MOD(A36-1,Parametreler!$B$10)+1)</x:f>
        <x:v>4</x:v>
      </x:c>
      <x:c r="D36" s="26" t="n">
        <x:f>IF(A36="","",INDEX('Veri Kumesi'!$B$5:$B$8,C36))</x:f>
        <x:v>1</x:v>
      </x:c>
      <x:c r="E36" s="26" t="n">
        <x:f>IF(A36="","",INDEX('Veri Kumesi'!$C$5:$C$8,C36))</x:f>
        <x:v>1</x:v>
      </x:c>
      <x:c r="F36" s="26" t="n">
        <x:f>IF(A36="","",INDEX('Veri Kumesi'!$D$5:$D$8,C36))</x:f>
        <x:v>1</x:v>
      </x:c>
      <x:c r="G36" s="26" t="n">
        <x:f>IF(A36="","",P35)</x:f>
        <x:v>0.1</x:v>
      </x:c>
      <x:c r="H36" s="26" t="n">
        <x:f>IF(A36="","",Q35)</x:f>
        <x:v>0.1</x:v>
      </x:c>
      <x:c r="I36" s="26" t="n">
        <x:f>IF(A36="","",R35)</x:f>
        <x:v>-0.1</x:v>
      </x:c>
      <x:c r="J36" s="26" t="n">
        <x:f>IF(A36="","",G36*D36+H36*E36+I36)</x:f>
        <x:v>0.1</x:v>
      </x:c>
      <x:c r="K36" s="26" t="n">
        <x:f>IF(A36="","",IF(J36&gt;=Parametreler!$B$11,1,-1))</x:f>
        <x:v>1</x:v>
      </x:c>
      <x:c r="L36" s="26" t="n">
        <x:f>IF(A36="","",IF(K36=F36,0,1))</x:f>
        <x:v>0</x:v>
      </x:c>
      <x:c r="M36" s="26" t="n">
        <x:f>IF(A36="","",Parametreler!$B$5*L36*F36*D36)</x:f>
        <x:v>0</x:v>
      </x:c>
      <x:c r="N36" s="26" t="n">
        <x:f>IF(A36="","",Parametreler!$B$5*L36*F36*E36)</x:f>
        <x:v>0</x:v>
      </x:c>
      <x:c r="O36" s="26" t="n">
        <x:f>IF(A36="","",Parametreler!$B$5*L36*F36)</x:f>
        <x:v>0</x:v>
      </x:c>
      <x:c r="P36" s="26" t="n">
        <x:f>IF(A36="","",G36+M36)</x:f>
        <x:v>0.1</x:v>
      </x:c>
      <x:c r="Q36" s="26" t="n">
        <x:f>IF(A36="","",H36+N36)</x:f>
        <x:v>0.1</x:v>
      </x:c>
      <x:c r="R36" s="26" t="n">
        <x:f>IF(A36="","",I36+O36)</x:f>
        <x:v>-0.1</x:v>
      </x:c>
    </x:row>
    <x:row r="37" ht="20" customHeight="1">
      <x:c r="A37" t="n">
        <x:f>IF(33&lt;=Parametreler!$B$9*Parametreler!$B$10,33,"")</x:f>
        <x:v>33</x:v>
      </x:c>
      <x:c r="B37" t="n">
        <x:f>IF(A37="","",INT((A37-1)/Parametreler!$B$10)+1)</x:f>
        <x:v>9</x:v>
      </x:c>
      <x:c r="C37" t="n">
        <x:f>IF(A37="","",MOD(A37-1,Parametreler!$B$10)+1)</x:f>
        <x:v>1</x:v>
      </x:c>
      <x:c r="D37" s="26" t="n">
        <x:f>IF(A37="","",INDEX('Veri Kumesi'!$B$5:$B$8,C37))</x:f>
        <x:v>-1</x:v>
      </x:c>
      <x:c r="E37" s="26" t="n">
        <x:f>IF(A37="","",INDEX('Veri Kumesi'!$C$5:$C$8,C37))</x:f>
        <x:v>-1</x:v>
      </x:c>
      <x:c r="F37" s="26" t="n">
        <x:f>IF(A37="","",INDEX('Veri Kumesi'!$D$5:$D$8,C37))</x:f>
        <x:v>-1</x:v>
      </x:c>
      <x:c r="G37" s="26" t="n">
        <x:f>IF(A37="","",P36)</x:f>
        <x:v>0.1</x:v>
      </x:c>
      <x:c r="H37" s="26" t="n">
        <x:f>IF(A37="","",Q36)</x:f>
        <x:v>0.1</x:v>
      </x:c>
      <x:c r="I37" s="26" t="n">
        <x:f>IF(A37="","",R36)</x:f>
        <x:v>-0.1</x:v>
      </x:c>
      <x:c r="J37" s="26" t="n">
        <x:f>IF(A37="","",G37*D37+H37*E37+I37)</x:f>
        <x:v>-0.30000000000000004</x:v>
      </x:c>
      <x:c r="K37" s="26" t="n">
        <x:f>IF(A37="","",IF(J37&gt;=Parametreler!$B$11,1,-1))</x:f>
        <x:v>-1</x:v>
      </x:c>
      <x:c r="L37" s="26" t="n">
        <x:f>IF(A37="","",IF(K37=F37,0,1))</x:f>
        <x:v>0</x:v>
      </x:c>
      <x:c r="M37" s="26" t="n">
        <x:f>IF(A37="","",Parametreler!$B$5*L37*F37*D37)</x:f>
        <x:v>0</x:v>
      </x:c>
      <x:c r="N37" s="26" t="n">
        <x:f>IF(A37="","",Parametreler!$B$5*L37*F37*E37)</x:f>
        <x:v>0</x:v>
      </x:c>
      <x:c r="O37" s="26" t="n">
        <x:f>IF(A37="","",Parametreler!$B$5*L37*F37)</x:f>
        <x:v>0</x:v>
      </x:c>
      <x:c r="P37" s="26" t="n">
        <x:f>IF(A37="","",G37+M37)</x:f>
        <x:v>0.1</x:v>
      </x:c>
      <x:c r="Q37" s="26" t="n">
        <x:f>IF(A37="","",H37+N37)</x:f>
        <x:v>0.1</x:v>
      </x:c>
      <x:c r="R37" s="26" t="n">
        <x:f>IF(A37="","",I37+O37)</x:f>
        <x:v>-0.1</x:v>
      </x:c>
    </x:row>
    <x:row r="38" ht="20" customHeight="1">
      <x:c r="A38" t="n">
        <x:f>IF(34&lt;=Parametreler!$B$9*Parametreler!$B$10,34,"")</x:f>
        <x:v>34</x:v>
      </x:c>
      <x:c r="B38" t="n">
        <x:f>IF(A38="","",INT((A38-1)/Parametreler!$B$10)+1)</x:f>
        <x:v>9</x:v>
      </x:c>
      <x:c r="C38" t="n">
        <x:f>IF(A38="","",MOD(A38-1,Parametreler!$B$10)+1)</x:f>
        <x:v>2</x:v>
      </x:c>
      <x:c r="D38" s="26" t="n">
        <x:f>IF(A38="","",INDEX('Veri Kumesi'!$B$5:$B$8,C38))</x:f>
        <x:v>-1</x:v>
      </x:c>
      <x:c r="E38" s="26" t="n">
        <x:f>IF(A38="","",INDEX('Veri Kumesi'!$C$5:$C$8,C38))</x:f>
        <x:v>1</x:v>
      </x:c>
      <x:c r="F38" s="26" t="n">
        <x:f>IF(A38="","",INDEX('Veri Kumesi'!$D$5:$D$8,C38))</x:f>
        <x:v>-1</x:v>
      </x:c>
      <x:c r="G38" s="26" t="n">
        <x:f>IF(A38="","",P37)</x:f>
        <x:v>0.1</x:v>
      </x:c>
      <x:c r="H38" s="26" t="n">
        <x:f>IF(A38="","",Q37)</x:f>
        <x:v>0.1</x:v>
      </x:c>
      <x:c r="I38" s="26" t="n">
        <x:f>IF(A38="","",R37)</x:f>
        <x:v>-0.1</x:v>
      </x:c>
      <x:c r="J38" s="26" t="n">
        <x:f>IF(A38="","",G38*D38+H38*E38+I38)</x:f>
        <x:v>-0.1</x:v>
      </x:c>
      <x:c r="K38" s="26" t="n">
        <x:f>IF(A38="","",IF(J38&gt;=Parametreler!$B$11,1,-1))</x:f>
        <x:v>-1</x:v>
      </x:c>
      <x:c r="L38" s="26" t="n">
        <x:f>IF(A38="","",IF(K38=F38,0,1))</x:f>
        <x:v>0</x:v>
      </x:c>
      <x:c r="M38" s="26" t="n">
        <x:f>IF(A38="","",Parametreler!$B$5*L38*F38*D38)</x:f>
        <x:v>0</x:v>
      </x:c>
      <x:c r="N38" s="26" t="n">
        <x:f>IF(A38="","",Parametreler!$B$5*L38*F38*E38)</x:f>
        <x:v>0</x:v>
      </x:c>
      <x:c r="O38" s="26" t="n">
        <x:f>IF(A38="","",Parametreler!$B$5*L38*F38)</x:f>
        <x:v>0</x:v>
      </x:c>
      <x:c r="P38" s="26" t="n">
        <x:f>IF(A38="","",G38+M38)</x:f>
        <x:v>0.1</x:v>
      </x:c>
      <x:c r="Q38" s="26" t="n">
        <x:f>IF(A38="","",H38+N38)</x:f>
        <x:v>0.1</x:v>
      </x:c>
      <x:c r="R38" s="26" t="n">
        <x:f>IF(A38="","",I38+O38)</x:f>
        <x:v>-0.1</x:v>
      </x:c>
    </x:row>
    <x:row r="39" ht="20" customHeight="1">
      <x:c r="A39" t="n">
        <x:f>IF(35&lt;=Parametreler!$B$9*Parametreler!$B$10,35,"")</x:f>
        <x:v>35</x:v>
      </x:c>
      <x:c r="B39" t="n">
        <x:f>IF(A39="","",INT((A39-1)/Parametreler!$B$10)+1)</x:f>
        <x:v>9</x:v>
      </x:c>
      <x:c r="C39" t="n">
        <x:f>IF(A39="","",MOD(A39-1,Parametreler!$B$10)+1)</x:f>
        <x:v>3</x:v>
      </x:c>
      <x:c r="D39" s="26" t="n">
        <x:f>IF(A39="","",INDEX('Veri Kumesi'!$B$5:$B$8,C39))</x:f>
        <x:v>1</x:v>
      </x:c>
      <x:c r="E39" s="26" t="n">
        <x:f>IF(A39="","",INDEX('Veri Kumesi'!$C$5:$C$8,C39))</x:f>
        <x:v>-1</x:v>
      </x:c>
      <x:c r="F39" s="26" t="n">
        <x:f>IF(A39="","",INDEX('Veri Kumesi'!$D$5:$D$8,C39))</x:f>
        <x:v>-1</x:v>
      </x:c>
      <x:c r="G39" s="26" t="n">
        <x:f>IF(A39="","",P38)</x:f>
        <x:v>0.1</x:v>
      </x:c>
      <x:c r="H39" s="26" t="n">
        <x:f>IF(A39="","",Q38)</x:f>
        <x:v>0.1</x:v>
      </x:c>
      <x:c r="I39" s="26" t="n">
        <x:f>IF(A39="","",R38)</x:f>
        <x:v>-0.1</x:v>
      </x:c>
      <x:c r="J39" s="26" t="n">
        <x:f>IF(A39="","",G39*D39+H39*E39+I39)</x:f>
        <x:v>-0.1</x:v>
      </x:c>
      <x:c r="K39" s="26" t="n">
        <x:f>IF(A39="","",IF(J39&gt;=Parametreler!$B$11,1,-1))</x:f>
        <x:v>-1</x:v>
      </x:c>
      <x:c r="L39" s="26" t="n">
        <x:f>IF(A39="","",IF(K39=F39,0,1))</x:f>
        <x:v>0</x:v>
      </x:c>
      <x:c r="M39" s="26" t="n">
        <x:f>IF(A39="","",Parametreler!$B$5*L39*F39*D39)</x:f>
        <x:v>0</x:v>
      </x:c>
      <x:c r="N39" s="26" t="n">
        <x:f>IF(A39="","",Parametreler!$B$5*L39*F39*E39)</x:f>
        <x:v>0</x:v>
      </x:c>
      <x:c r="O39" s="26" t="n">
        <x:f>IF(A39="","",Parametreler!$B$5*L39*F39)</x:f>
        <x:v>0</x:v>
      </x:c>
      <x:c r="P39" s="26" t="n">
        <x:f>IF(A39="","",G39+M39)</x:f>
        <x:v>0.1</x:v>
      </x:c>
      <x:c r="Q39" s="26" t="n">
        <x:f>IF(A39="","",H39+N39)</x:f>
        <x:v>0.1</x:v>
      </x:c>
      <x:c r="R39" s="26" t="n">
        <x:f>IF(A39="","",I39+O39)</x:f>
        <x:v>-0.1</x:v>
      </x:c>
    </x:row>
    <x:row r="40" ht="20" customHeight="1">
      <x:c r="A40" t="n">
        <x:f>IF(36&lt;=Parametreler!$B$9*Parametreler!$B$10,36,"")</x:f>
        <x:v>36</x:v>
      </x:c>
      <x:c r="B40" t="n">
        <x:f>IF(A40="","",INT((A40-1)/Parametreler!$B$10)+1)</x:f>
        <x:v>9</x:v>
      </x:c>
      <x:c r="C40" t="n">
        <x:f>IF(A40="","",MOD(A40-1,Parametreler!$B$10)+1)</x:f>
        <x:v>4</x:v>
      </x:c>
      <x:c r="D40" s="26" t="n">
        <x:f>IF(A40="","",INDEX('Veri Kumesi'!$B$5:$B$8,C40))</x:f>
        <x:v>1</x:v>
      </x:c>
      <x:c r="E40" s="26" t="n">
        <x:f>IF(A40="","",INDEX('Veri Kumesi'!$C$5:$C$8,C40))</x:f>
        <x:v>1</x:v>
      </x:c>
      <x:c r="F40" s="26" t="n">
        <x:f>IF(A40="","",INDEX('Veri Kumesi'!$D$5:$D$8,C40))</x:f>
        <x:v>1</x:v>
      </x:c>
      <x:c r="G40" s="26" t="n">
        <x:f>IF(A40="","",P39)</x:f>
        <x:v>0.1</x:v>
      </x:c>
      <x:c r="H40" s="26" t="n">
        <x:f>IF(A40="","",Q39)</x:f>
        <x:v>0.1</x:v>
      </x:c>
      <x:c r="I40" s="26" t="n">
        <x:f>IF(A40="","",R39)</x:f>
        <x:v>-0.1</x:v>
      </x:c>
      <x:c r="J40" s="26" t="n">
        <x:f>IF(A40="","",G40*D40+H40*E40+I40)</x:f>
        <x:v>0.1</x:v>
      </x:c>
      <x:c r="K40" s="26" t="n">
        <x:f>IF(A40="","",IF(J40&gt;=Parametreler!$B$11,1,-1))</x:f>
        <x:v>1</x:v>
      </x:c>
      <x:c r="L40" s="26" t="n">
        <x:f>IF(A40="","",IF(K40=F40,0,1))</x:f>
        <x:v>0</x:v>
      </x:c>
      <x:c r="M40" s="26" t="n">
        <x:f>IF(A40="","",Parametreler!$B$5*L40*F40*D40)</x:f>
        <x:v>0</x:v>
      </x:c>
      <x:c r="N40" s="26" t="n">
        <x:f>IF(A40="","",Parametreler!$B$5*L40*F40*E40)</x:f>
        <x:v>0</x:v>
      </x:c>
      <x:c r="O40" s="26" t="n">
        <x:f>IF(A40="","",Parametreler!$B$5*L40*F40)</x:f>
        <x:v>0</x:v>
      </x:c>
      <x:c r="P40" s="26" t="n">
        <x:f>IF(A40="","",G40+M40)</x:f>
        <x:v>0.1</x:v>
      </x:c>
      <x:c r="Q40" s="26" t="n">
        <x:f>IF(A40="","",H40+N40)</x:f>
        <x:v>0.1</x:v>
      </x:c>
      <x:c r="R40" s="26" t="n">
        <x:f>IF(A40="","",I40+O40)</x:f>
        <x:v>-0.1</x:v>
      </x:c>
    </x:row>
    <x:row r="41" ht="20" customHeight="1">
      <x:c r="A41" t="n">
        <x:f>IF(37&lt;=Parametreler!$B$9*Parametreler!$B$10,37,"")</x:f>
        <x:v>37</x:v>
      </x:c>
      <x:c r="B41" t="n">
        <x:f>IF(A41="","",INT((A41-1)/Parametreler!$B$10)+1)</x:f>
        <x:v>10</x:v>
      </x:c>
      <x:c r="C41" t="n">
        <x:f>IF(A41="","",MOD(A41-1,Parametreler!$B$10)+1)</x:f>
        <x:v>1</x:v>
      </x:c>
      <x:c r="D41" s="26" t="n">
        <x:f>IF(A41="","",INDEX('Veri Kumesi'!$B$5:$B$8,C41))</x:f>
        <x:v>-1</x:v>
      </x:c>
      <x:c r="E41" s="26" t="n">
        <x:f>IF(A41="","",INDEX('Veri Kumesi'!$C$5:$C$8,C41))</x:f>
        <x:v>-1</x:v>
      </x:c>
      <x:c r="F41" s="26" t="n">
        <x:f>IF(A41="","",INDEX('Veri Kumesi'!$D$5:$D$8,C41))</x:f>
        <x:v>-1</x:v>
      </x:c>
      <x:c r="G41" s="26" t="n">
        <x:f>IF(A41="","",P40)</x:f>
        <x:v>0.1</x:v>
      </x:c>
      <x:c r="H41" s="26" t="n">
        <x:f>IF(A41="","",Q40)</x:f>
        <x:v>0.1</x:v>
      </x:c>
      <x:c r="I41" s="26" t="n">
        <x:f>IF(A41="","",R40)</x:f>
        <x:v>-0.1</x:v>
      </x:c>
      <x:c r="J41" s="26" t="n">
        <x:f>IF(A41="","",G41*D41+H41*E41+I41)</x:f>
        <x:v>-0.30000000000000004</x:v>
      </x:c>
      <x:c r="K41" s="26" t="n">
        <x:f>IF(A41="","",IF(J41&gt;=Parametreler!$B$11,1,-1))</x:f>
        <x:v>-1</x:v>
      </x:c>
      <x:c r="L41" s="26" t="n">
        <x:f>IF(A41="","",IF(K41=F41,0,1))</x:f>
        <x:v>0</x:v>
      </x:c>
      <x:c r="M41" s="26" t="n">
        <x:f>IF(A41="","",Parametreler!$B$5*L41*F41*D41)</x:f>
        <x:v>0</x:v>
      </x:c>
      <x:c r="N41" s="26" t="n">
        <x:f>IF(A41="","",Parametreler!$B$5*L41*F41*E41)</x:f>
        <x:v>0</x:v>
      </x:c>
      <x:c r="O41" s="26" t="n">
        <x:f>IF(A41="","",Parametreler!$B$5*L41*F41)</x:f>
        <x:v>0</x:v>
      </x:c>
      <x:c r="P41" s="26" t="n">
        <x:f>IF(A41="","",G41+M41)</x:f>
        <x:v>0.1</x:v>
      </x:c>
      <x:c r="Q41" s="26" t="n">
        <x:f>IF(A41="","",H41+N41)</x:f>
        <x:v>0.1</x:v>
      </x:c>
      <x:c r="R41" s="26" t="n">
        <x:f>IF(A41="","",I41+O41)</x:f>
        <x:v>-0.1</x:v>
      </x:c>
    </x:row>
    <x:row r="42" ht="20" customHeight="1">
      <x:c r="A42" t="n">
        <x:f>IF(38&lt;=Parametreler!$B$9*Parametreler!$B$10,38,"")</x:f>
        <x:v>38</x:v>
      </x:c>
      <x:c r="B42" t="n">
        <x:f>IF(A42="","",INT((A42-1)/Parametreler!$B$10)+1)</x:f>
        <x:v>10</x:v>
      </x:c>
      <x:c r="C42" t="n">
        <x:f>IF(A42="","",MOD(A42-1,Parametreler!$B$10)+1)</x:f>
        <x:v>2</x:v>
      </x:c>
      <x:c r="D42" s="26" t="n">
        <x:f>IF(A42="","",INDEX('Veri Kumesi'!$B$5:$B$8,C42))</x:f>
        <x:v>-1</x:v>
      </x:c>
      <x:c r="E42" s="26" t="n">
        <x:f>IF(A42="","",INDEX('Veri Kumesi'!$C$5:$C$8,C42))</x:f>
        <x:v>1</x:v>
      </x:c>
      <x:c r="F42" s="26" t="n">
        <x:f>IF(A42="","",INDEX('Veri Kumesi'!$D$5:$D$8,C42))</x:f>
        <x:v>-1</x:v>
      </x:c>
      <x:c r="G42" s="26" t="n">
        <x:f>IF(A42="","",P41)</x:f>
        <x:v>0.1</x:v>
      </x:c>
      <x:c r="H42" s="26" t="n">
        <x:f>IF(A42="","",Q41)</x:f>
        <x:v>0.1</x:v>
      </x:c>
      <x:c r="I42" s="26" t="n">
        <x:f>IF(A42="","",R41)</x:f>
        <x:v>-0.1</x:v>
      </x:c>
      <x:c r="J42" s="26" t="n">
        <x:f>IF(A42="","",G42*D42+H42*E42+I42)</x:f>
        <x:v>-0.1</x:v>
      </x:c>
      <x:c r="K42" s="26" t="n">
        <x:f>IF(A42="","",IF(J42&gt;=Parametreler!$B$11,1,-1))</x:f>
        <x:v>-1</x:v>
      </x:c>
      <x:c r="L42" s="26" t="n">
        <x:f>IF(A42="","",IF(K42=F42,0,1))</x:f>
        <x:v>0</x:v>
      </x:c>
      <x:c r="M42" s="26" t="n">
        <x:f>IF(A42="","",Parametreler!$B$5*L42*F42*D42)</x:f>
        <x:v>0</x:v>
      </x:c>
      <x:c r="N42" s="26" t="n">
        <x:f>IF(A42="","",Parametreler!$B$5*L42*F42*E42)</x:f>
        <x:v>0</x:v>
      </x:c>
      <x:c r="O42" s="26" t="n">
        <x:f>IF(A42="","",Parametreler!$B$5*L42*F42)</x:f>
        <x:v>0</x:v>
      </x:c>
      <x:c r="P42" s="26" t="n">
        <x:f>IF(A42="","",G42+M42)</x:f>
        <x:v>0.1</x:v>
      </x:c>
      <x:c r="Q42" s="26" t="n">
        <x:f>IF(A42="","",H42+N42)</x:f>
        <x:v>0.1</x:v>
      </x:c>
      <x:c r="R42" s="26" t="n">
        <x:f>IF(A42="","",I42+O42)</x:f>
        <x:v>-0.1</x:v>
      </x:c>
    </x:row>
    <x:row r="43" ht="20" customHeight="1">
      <x:c r="A43" t="n">
        <x:f>IF(39&lt;=Parametreler!$B$9*Parametreler!$B$10,39,"")</x:f>
        <x:v>39</x:v>
      </x:c>
      <x:c r="B43" t="n">
        <x:f>IF(A43="","",INT((A43-1)/Parametreler!$B$10)+1)</x:f>
        <x:v>10</x:v>
      </x:c>
      <x:c r="C43" t="n">
        <x:f>IF(A43="","",MOD(A43-1,Parametreler!$B$10)+1)</x:f>
        <x:v>3</x:v>
      </x:c>
      <x:c r="D43" s="26" t="n">
        <x:f>IF(A43="","",INDEX('Veri Kumesi'!$B$5:$B$8,C43))</x:f>
        <x:v>1</x:v>
      </x:c>
      <x:c r="E43" s="26" t="n">
        <x:f>IF(A43="","",INDEX('Veri Kumesi'!$C$5:$C$8,C43))</x:f>
        <x:v>-1</x:v>
      </x:c>
      <x:c r="F43" s="26" t="n">
        <x:f>IF(A43="","",INDEX('Veri Kumesi'!$D$5:$D$8,C43))</x:f>
        <x:v>-1</x:v>
      </x:c>
      <x:c r="G43" s="26" t="n">
        <x:f>IF(A43="","",P42)</x:f>
        <x:v>0.1</x:v>
      </x:c>
      <x:c r="H43" s="26" t="n">
        <x:f>IF(A43="","",Q42)</x:f>
        <x:v>0.1</x:v>
      </x:c>
      <x:c r="I43" s="26" t="n">
        <x:f>IF(A43="","",R42)</x:f>
        <x:v>-0.1</x:v>
      </x:c>
      <x:c r="J43" s="26" t="n">
        <x:f>IF(A43="","",G43*D43+H43*E43+I43)</x:f>
        <x:v>-0.1</x:v>
      </x:c>
      <x:c r="K43" s="26" t="n">
        <x:f>IF(A43="","",IF(J43&gt;=Parametreler!$B$11,1,-1))</x:f>
        <x:v>-1</x:v>
      </x:c>
      <x:c r="L43" s="26" t="n">
        <x:f>IF(A43="","",IF(K43=F43,0,1))</x:f>
        <x:v>0</x:v>
      </x:c>
      <x:c r="M43" s="26" t="n">
        <x:f>IF(A43="","",Parametreler!$B$5*L43*F43*D43)</x:f>
        <x:v>0</x:v>
      </x:c>
      <x:c r="N43" s="26" t="n">
        <x:f>IF(A43="","",Parametreler!$B$5*L43*F43*E43)</x:f>
        <x:v>0</x:v>
      </x:c>
      <x:c r="O43" s="26" t="n">
        <x:f>IF(A43="","",Parametreler!$B$5*L43*F43)</x:f>
        <x:v>0</x:v>
      </x:c>
      <x:c r="P43" s="26" t="n">
        <x:f>IF(A43="","",G43+M43)</x:f>
        <x:v>0.1</x:v>
      </x:c>
      <x:c r="Q43" s="26" t="n">
        <x:f>IF(A43="","",H43+N43)</x:f>
        <x:v>0.1</x:v>
      </x:c>
      <x:c r="R43" s="26" t="n">
        <x:f>IF(A43="","",I43+O43)</x:f>
        <x:v>-0.1</x:v>
      </x:c>
    </x:row>
    <x:row r="44" ht="20" customHeight="1">
      <x:c r="A44" t="n">
        <x:f>IF(40&lt;=Parametreler!$B$9*Parametreler!$B$10,40,"")</x:f>
        <x:v>40</x:v>
      </x:c>
      <x:c r="B44" t="n">
        <x:f>IF(A44="","",INT((A44-1)/Parametreler!$B$10)+1)</x:f>
        <x:v>10</x:v>
      </x:c>
      <x:c r="C44" t="n">
        <x:f>IF(A44="","",MOD(A44-1,Parametreler!$B$10)+1)</x:f>
        <x:v>4</x:v>
      </x:c>
      <x:c r="D44" s="26" t="n">
        <x:f>IF(A44="","",INDEX('Veri Kumesi'!$B$5:$B$8,C44))</x:f>
        <x:v>1</x:v>
      </x:c>
      <x:c r="E44" s="26" t="n">
        <x:f>IF(A44="","",INDEX('Veri Kumesi'!$C$5:$C$8,C44))</x:f>
        <x:v>1</x:v>
      </x:c>
      <x:c r="F44" s="26" t="n">
        <x:f>IF(A44="","",INDEX('Veri Kumesi'!$D$5:$D$8,C44))</x:f>
        <x:v>1</x:v>
      </x:c>
      <x:c r="G44" s="26" t="n">
        <x:f>IF(A44="","",P43)</x:f>
        <x:v>0.1</x:v>
      </x:c>
      <x:c r="H44" s="26" t="n">
        <x:f>IF(A44="","",Q43)</x:f>
        <x:v>0.1</x:v>
      </x:c>
      <x:c r="I44" s="26" t="n">
        <x:f>IF(A44="","",R43)</x:f>
        <x:v>-0.1</x:v>
      </x:c>
      <x:c r="J44" s="26" t="n">
        <x:f>IF(A44="","",G44*D44+H44*E44+I44)</x:f>
        <x:v>0.1</x:v>
      </x:c>
      <x:c r="K44" s="26" t="n">
        <x:f>IF(A44="","",IF(J44&gt;=Parametreler!$B$11,1,-1))</x:f>
        <x:v>1</x:v>
      </x:c>
      <x:c r="L44" s="26" t="n">
        <x:f>IF(A44="","",IF(K44=F44,0,1))</x:f>
        <x:v>0</x:v>
      </x:c>
      <x:c r="M44" s="26" t="n">
        <x:f>IF(A44="","",Parametreler!$B$5*L44*F44*D44)</x:f>
        <x:v>0</x:v>
      </x:c>
      <x:c r="N44" s="26" t="n">
        <x:f>IF(A44="","",Parametreler!$B$5*L44*F44*E44)</x:f>
        <x:v>0</x:v>
      </x:c>
      <x:c r="O44" s="26" t="n">
        <x:f>IF(A44="","",Parametreler!$B$5*L44*F44)</x:f>
        <x:v>0</x:v>
      </x:c>
      <x:c r="P44" s="26" t="n">
        <x:f>IF(A44="","",G44+M44)</x:f>
        <x:v>0.1</x:v>
      </x:c>
      <x:c r="Q44" s="26" t="n">
        <x:f>IF(A44="","",H44+N44)</x:f>
        <x:v>0.1</x:v>
      </x:c>
      <x:c r="R44" s="26" t="n">
        <x:f>IF(A44="","",I44+O44)</x:f>
        <x:v>-0.1</x:v>
      </x:c>
    </x:row>
    <x:row r="45" ht="20" customHeight="1">
      <x:c r="A45" t="n">
        <x:f>IF(41&lt;=Parametreler!$B$9*Parametreler!$B$10,41,"")</x:f>
        <x:v>41</x:v>
      </x:c>
      <x:c r="B45" t="n">
        <x:f>IF(A45="","",INT((A45-1)/Parametreler!$B$10)+1)</x:f>
        <x:v>11</x:v>
      </x:c>
      <x:c r="C45" t="n">
        <x:f>IF(A45="","",MOD(A45-1,Parametreler!$B$10)+1)</x:f>
        <x:v>1</x:v>
      </x:c>
      <x:c r="D45" s="26" t="n">
        <x:f>IF(A45="","",INDEX('Veri Kumesi'!$B$5:$B$8,C45))</x:f>
        <x:v>-1</x:v>
      </x:c>
      <x:c r="E45" s="26" t="n">
        <x:f>IF(A45="","",INDEX('Veri Kumesi'!$C$5:$C$8,C45))</x:f>
        <x:v>-1</x:v>
      </x:c>
      <x:c r="F45" s="26" t="n">
        <x:f>IF(A45="","",INDEX('Veri Kumesi'!$D$5:$D$8,C45))</x:f>
        <x:v>-1</x:v>
      </x:c>
      <x:c r="G45" s="26" t="n">
        <x:f>IF(A45="","",P44)</x:f>
        <x:v>0.1</x:v>
      </x:c>
      <x:c r="H45" s="26" t="n">
        <x:f>IF(A45="","",Q44)</x:f>
        <x:v>0.1</x:v>
      </x:c>
      <x:c r="I45" s="26" t="n">
        <x:f>IF(A45="","",R44)</x:f>
        <x:v>-0.1</x:v>
      </x:c>
      <x:c r="J45" s="26" t="n">
        <x:f>IF(A45="","",G45*D45+H45*E45+I45)</x:f>
        <x:v>-0.30000000000000004</x:v>
      </x:c>
      <x:c r="K45" s="26" t="n">
        <x:f>IF(A45="","",IF(J45&gt;=Parametreler!$B$11,1,-1))</x:f>
        <x:v>-1</x:v>
      </x:c>
      <x:c r="L45" s="26" t="n">
        <x:f>IF(A45="","",IF(K45=F45,0,1))</x:f>
        <x:v>0</x:v>
      </x:c>
      <x:c r="M45" s="26" t="n">
        <x:f>IF(A45="","",Parametreler!$B$5*L45*F45*D45)</x:f>
        <x:v>0</x:v>
      </x:c>
      <x:c r="N45" s="26" t="n">
        <x:f>IF(A45="","",Parametreler!$B$5*L45*F45*E45)</x:f>
        <x:v>0</x:v>
      </x:c>
      <x:c r="O45" s="26" t="n">
        <x:f>IF(A45="","",Parametreler!$B$5*L45*F45)</x:f>
        <x:v>0</x:v>
      </x:c>
      <x:c r="P45" s="26" t="n">
        <x:f>IF(A45="","",G45+M45)</x:f>
        <x:v>0.1</x:v>
      </x:c>
      <x:c r="Q45" s="26" t="n">
        <x:f>IF(A45="","",H45+N45)</x:f>
        <x:v>0.1</x:v>
      </x:c>
      <x:c r="R45" s="26" t="n">
        <x:f>IF(A45="","",I45+O45)</x:f>
        <x:v>-0.1</x:v>
      </x:c>
    </x:row>
    <x:row r="46" ht="20" customHeight="1">
      <x:c r="A46" t="n">
        <x:f>IF(42&lt;=Parametreler!$B$9*Parametreler!$B$10,42,"")</x:f>
        <x:v>42</x:v>
      </x:c>
      <x:c r="B46" t="n">
        <x:f>IF(A46="","",INT((A46-1)/Parametreler!$B$10)+1)</x:f>
        <x:v>11</x:v>
      </x:c>
      <x:c r="C46" t="n">
        <x:f>IF(A46="","",MOD(A46-1,Parametreler!$B$10)+1)</x:f>
        <x:v>2</x:v>
      </x:c>
      <x:c r="D46" s="26" t="n">
        <x:f>IF(A46="","",INDEX('Veri Kumesi'!$B$5:$B$8,C46))</x:f>
        <x:v>-1</x:v>
      </x:c>
      <x:c r="E46" s="26" t="n">
        <x:f>IF(A46="","",INDEX('Veri Kumesi'!$C$5:$C$8,C46))</x:f>
        <x:v>1</x:v>
      </x:c>
      <x:c r="F46" s="26" t="n">
        <x:f>IF(A46="","",INDEX('Veri Kumesi'!$D$5:$D$8,C46))</x:f>
        <x:v>-1</x:v>
      </x:c>
      <x:c r="G46" s="26" t="n">
        <x:f>IF(A46="","",P45)</x:f>
        <x:v>0.1</x:v>
      </x:c>
      <x:c r="H46" s="26" t="n">
        <x:f>IF(A46="","",Q45)</x:f>
        <x:v>0.1</x:v>
      </x:c>
      <x:c r="I46" s="26" t="n">
        <x:f>IF(A46="","",R45)</x:f>
        <x:v>-0.1</x:v>
      </x:c>
      <x:c r="J46" s="26" t="n">
        <x:f>IF(A46="","",G46*D46+H46*E46+I46)</x:f>
        <x:v>-0.1</x:v>
      </x:c>
      <x:c r="K46" s="26" t="n">
        <x:f>IF(A46="","",IF(J46&gt;=Parametreler!$B$11,1,-1))</x:f>
        <x:v>-1</x:v>
      </x:c>
      <x:c r="L46" s="26" t="n">
        <x:f>IF(A46="","",IF(K46=F46,0,1))</x:f>
        <x:v>0</x:v>
      </x:c>
      <x:c r="M46" s="26" t="n">
        <x:f>IF(A46="","",Parametreler!$B$5*L46*F46*D46)</x:f>
        <x:v>0</x:v>
      </x:c>
      <x:c r="N46" s="26" t="n">
        <x:f>IF(A46="","",Parametreler!$B$5*L46*F46*E46)</x:f>
        <x:v>0</x:v>
      </x:c>
      <x:c r="O46" s="26" t="n">
        <x:f>IF(A46="","",Parametreler!$B$5*L46*F46)</x:f>
        <x:v>0</x:v>
      </x:c>
      <x:c r="P46" s="26" t="n">
        <x:f>IF(A46="","",G46+M46)</x:f>
        <x:v>0.1</x:v>
      </x:c>
      <x:c r="Q46" s="26" t="n">
        <x:f>IF(A46="","",H46+N46)</x:f>
        <x:v>0.1</x:v>
      </x:c>
      <x:c r="R46" s="26" t="n">
        <x:f>IF(A46="","",I46+O46)</x:f>
        <x:v>-0.1</x:v>
      </x:c>
    </x:row>
    <x:row r="47" ht="20" customHeight="1">
      <x:c r="A47" t="n">
        <x:f>IF(43&lt;=Parametreler!$B$9*Parametreler!$B$10,43,"")</x:f>
        <x:v>43</x:v>
      </x:c>
      <x:c r="B47" t="n">
        <x:f>IF(A47="","",INT((A47-1)/Parametreler!$B$10)+1)</x:f>
        <x:v>11</x:v>
      </x:c>
      <x:c r="C47" t="n">
        <x:f>IF(A47="","",MOD(A47-1,Parametreler!$B$10)+1)</x:f>
        <x:v>3</x:v>
      </x:c>
      <x:c r="D47" s="26" t="n">
        <x:f>IF(A47="","",INDEX('Veri Kumesi'!$B$5:$B$8,C47))</x:f>
        <x:v>1</x:v>
      </x:c>
      <x:c r="E47" s="26" t="n">
        <x:f>IF(A47="","",INDEX('Veri Kumesi'!$C$5:$C$8,C47))</x:f>
        <x:v>-1</x:v>
      </x:c>
      <x:c r="F47" s="26" t="n">
        <x:f>IF(A47="","",INDEX('Veri Kumesi'!$D$5:$D$8,C47))</x:f>
        <x:v>-1</x:v>
      </x:c>
      <x:c r="G47" s="26" t="n">
        <x:f>IF(A47="","",P46)</x:f>
        <x:v>0.1</x:v>
      </x:c>
      <x:c r="H47" s="26" t="n">
        <x:f>IF(A47="","",Q46)</x:f>
        <x:v>0.1</x:v>
      </x:c>
      <x:c r="I47" s="26" t="n">
        <x:f>IF(A47="","",R46)</x:f>
        <x:v>-0.1</x:v>
      </x:c>
      <x:c r="J47" s="26" t="n">
        <x:f>IF(A47="","",G47*D47+H47*E47+I47)</x:f>
        <x:v>-0.1</x:v>
      </x:c>
      <x:c r="K47" s="26" t="n">
        <x:f>IF(A47="","",IF(J47&gt;=Parametreler!$B$11,1,-1))</x:f>
        <x:v>-1</x:v>
      </x:c>
      <x:c r="L47" s="26" t="n">
        <x:f>IF(A47="","",IF(K47=F47,0,1))</x:f>
        <x:v>0</x:v>
      </x:c>
      <x:c r="M47" s="26" t="n">
        <x:f>IF(A47="","",Parametreler!$B$5*L47*F47*D47)</x:f>
        <x:v>0</x:v>
      </x:c>
      <x:c r="N47" s="26" t="n">
        <x:f>IF(A47="","",Parametreler!$B$5*L47*F47*E47)</x:f>
        <x:v>0</x:v>
      </x:c>
      <x:c r="O47" s="26" t="n">
        <x:f>IF(A47="","",Parametreler!$B$5*L47*F47)</x:f>
        <x:v>0</x:v>
      </x:c>
      <x:c r="P47" s="26" t="n">
        <x:f>IF(A47="","",G47+M47)</x:f>
        <x:v>0.1</x:v>
      </x:c>
      <x:c r="Q47" s="26" t="n">
        <x:f>IF(A47="","",H47+N47)</x:f>
        <x:v>0.1</x:v>
      </x:c>
      <x:c r="R47" s="26" t="n">
        <x:f>IF(A47="","",I47+O47)</x:f>
        <x:v>-0.1</x:v>
      </x:c>
    </x:row>
    <x:row r="48" ht="20" customHeight="1">
      <x:c r="A48" t="n">
        <x:f>IF(44&lt;=Parametreler!$B$9*Parametreler!$B$10,44,"")</x:f>
        <x:v>44</x:v>
      </x:c>
      <x:c r="B48" t="n">
        <x:f>IF(A48="","",INT((A48-1)/Parametreler!$B$10)+1)</x:f>
        <x:v>11</x:v>
      </x:c>
      <x:c r="C48" t="n">
        <x:f>IF(A48="","",MOD(A48-1,Parametreler!$B$10)+1)</x:f>
        <x:v>4</x:v>
      </x:c>
      <x:c r="D48" s="26" t="n">
        <x:f>IF(A48="","",INDEX('Veri Kumesi'!$B$5:$B$8,C48))</x:f>
        <x:v>1</x:v>
      </x:c>
      <x:c r="E48" s="26" t="n">
        <x:f>IF(A48="","",INDEX('Veri Kumesi'!$C$5:$C$8,C48))</x:f>
        <x:v>1</x:v>
      </x:c>
      <x:c r="F48" s="26" t="n">
        <x:f>IF(A48="","",INDEX('Veri Kumesi'!$D$5:$D$8,C48))</x:f>
        <x:v>1</x:v>
      </x:c>
      <x:c r="G48" s="26" t="n">
        <x:f>IF(A48="","",P47)</x:f>
        <x:v>0.1</x:v>
      </x:c>
      <x:c r="H48" s="26" t="n">
        <x:f>IF(A48="","",Q47)</x:f>
        <x:v>0.1</x:v>
      </x:c>
      <x:c r="I48" s="26" t="n">
        <x:f>IF(A48="","",R47)</x:f>
        <x:v>-0.1</x:v>
      </x:c>
      <x:c r="J48" s="26" t="n">
        <x:f>IF(A48="","",G48*D48+H48*E48+I48)</x:f>
        <x:v>0.1</x:v>
      </x:c>
      <x:c r="K48" s="26" t="n">
        <x:f>IF(A48="","",IF(J48&gt;=Parametreler!$B$11,1,-1))</x:f>
        <x:v>1</x:v>
      </x:c>
      <x:c r="L48" s="26" t="n">
        <x:f>IF(A48="","",IF(K48=F48,0,1))</x:f>
        <x:v>0</x:v>
      </x:c>
      <x:c r="M48" s="26" t="n">
        <x:f>IF(A48="","",Parametreler!$B$5*L48*F48*D48)</x:f>
        <x:v>0</x:v>
      </x:c>
      <x:c r="N48" s="26" t="n">
        <x:f>IF(A48="","",Parametreler!$B$5*L48*F48*E48)</x:f>
        <x:v>0</x:v>
      </x:c>
      <x:c r="O48" s="26" t="n">
        <x:f>IF(A48="","",Parametreler!$B$5*L48*F48)</x:f>
        <x:v>0</x:v>
      </x:c>
      <x:c r="P48" s="26" t="n">
        <x:f>IF(A48="","",G48+M48)</x:f>
        <x:v>0.1</x:v>
      </x:c>
      <x:c r="Q48" s="26" t="n">
        <x:f>IF(A48="","",H48+N48)</x:f>
        <x:v>0.1</x:v>
      </x:c>
      <x:c r="R48" s="26" t="n">
        <x:f>IF(A48="","",I48+O48)</x:f>
        <x:v>-0.1</x:v>
      </x:c>
    </x:row>
    <x:row r="49" ht="20" customHeight="1">
      <x:c r="A49" t="n">
        <x:f>IF(45&lt;=Parametreler!$B$9*Parametreler!$B$10,45,"")</x:f>
        <x:v>45</x:v>
      </x:c>
      <x:c r="B49" t="n">
        <x:f>IF(A49="","",INT((A49-1)/Parametreler!$B$10)+1)</x:f>
        <x:v>12</x:v>
      </x:c>
      <x:c r="C49" t="n">
        <x:f>IF(A49="","",MOD(A49-1,Parametreler!$B$10)+1)</x:f>
        <x:v>1</x:v>
      </x:c>
      <x:c r="D49" s="26" t="n">
        <x:f>IF(A49="","",INDEX('Veri Kumesi'!$B$5:$B$8,C49))</x:f>
        <x:v>-1</x:v>
      </x:c>
      <x:c r="E49" s="26" t="n">
        <x:f>IF(A49="","",INDEX('Veri Kumesi'!$C$5:$C$8,C49))</x:f>
        <x:v>-1</x:v>
      </x:c>
      <x:c r="F49" s="26" t="n">
        <x:f>IF(A49="","",INDEX('Veri Kumesi'!$D$5:$D$8,C49))</x:f>
        <x:v>-1</x:v>
      </x:c>
      <x:c r="G49" s="26" t="n">
        <x:f>IF(A49="","",P48)</x:f>
        <x:v>0.1</x:v>
      </x:c>
      <x:c r="H49" s="26" t="n">
        <x:f>IF(A49="","",Q48)</x:f>
        <x:v>0.1</x:v>
      </x:c>
      <x:c r="I49" s="26" t="n">
        <x:f>IF(A49="","",R48)</x:f>
        <x:v>-0.1</x:v>
      </x:c>
      <x:c r="J49" s="26" t="n">
        <x:f>IF(A49="","",G49*D49+H49*E49+I49)</x:f>
        <x:v>-0.30000000000000004</x:v>
      </x:c>
      <x:c r="K49" s="26" t="n">
        <x:f>IF(A49="","",IF(J49&gt;=Parametreler!$B$11,1,-1))</x:f>
        <x:v>-1</x:v>
      </x:c>
      <x:c r="L49" s="26" t="n">
        <x:f>IF(A49="","",IF(K49=F49,0,1))</x:f>
        <x:v>0</x:v>
      </x:c>
      <x:c r="M49" s="26" t="n">
        <x:f>IF(A49="","",Parametreler!$B$5*L49*F49*D49)</x:f>
        <x:v>0</x:v>
      </x:c>
      <x:c r="N49" s="26" t="n">
        <x:f>IF(A49="","",Parametreler!$B$5*L49*F49*E49)</x:f>
        <x:v>0</x:v>
      </x:c>
      <x:c r="O49" s="26" t="n">
        <x:f>IF(A49="","",Parametreler!$B$5*L49*F49)</x:f>
        <x:v>0</x:v>
      </x:c>
      <x:c r="P49" s="26" t="n">
        <x:f>IF(A49="","",G49+M49)</x:f>
        <x:v>0.1</x:v>
      </x:c>
      <x:c r="Q49" s="26" t="n">
        <x:f>IF(A49="","",H49+N49)</x:f>
        <x:v>0.1</x:v>
      </x:c>
      <x:c r="R49" s="26" t="n">
        <x:f>IF(A49="","",I49+O49)</x:f>
        <x:v>-0.1</x:v>
      </x:c>
    </x:row>
    <x:row r="50" ht="20" customHeight="1">
      <x:c r="A50" t="n">
        <x:f>IF(46&lt;=Parametreler!$B$9*Parametreler!$B$10,46,"")</x:f>
        <x:v>46</x:v>
      </x:c>
      <x:c r="B50" t="n">
        <x:f>IF(A50="","",INT((A50-1)/Parametreler!$B$10)+1)</x:f>
        <x:v>12</x:v>
      </x:c>
      <x:c r="C50" t="n">
        <x:f>IF(A50="","",MOD(A50-1,Parametreler!$B$10)+1)</x:f>
        <x:v>2</x:v>
      </x:c>
      <x:c r="D50" s="26" t="n">
        <x:f>IF(A50="","",INDEX('Veri Kumesi'!$B$5:$B$8,C50))</x:f>
        <x:v>-1</x:v>
      </x:c>
      <x:c r="E50" s="26" t="n">
        <x:f>IF(A50="","",INDEX('Veri Kumesi'!$C$5:$C$8,C50))</x:f>
        <x:v>1</x:v>
      </x:c>
      <x:c r="F50" s="26" t="n">
        <x:f>IF(A50="","",INDEX('Veri Kumesi'!$D$5:$D$8,C50))</x:f>
        <x:v>-1</x:v>
      </x:c>
      <x:c r="G50" s="26" t="n">
        <x:f>IF(A50="","",P49)</x:f>
        <x:v>0.1</x:v>
      </x:c>
      <x:c r="H50" s="26" t="n">
        <x:f>IF(A50="","",Q49)</x:f>
        <x:v>0.1</x:v>
      </x:c>
      <x:c r="I50" s="26" t="n">
        <x:f>IF(A50="","",R49)</x:f>
        <x:v>-0.1</x:v>
      </x:c>
      <x:c r="J50" s="26" t="n">
        <x:f>IF(A50="","",G50*D50+H50*E50+I50)</x:f>
        <x:v>-0.1</x:v>
      </x:c>
      <x:c r="K50" s="26" t="n">
        <x:f>IF(A50="","",IF(J50&gt;=Parametreler!$B$11,1,-1))</x:f>
        <x:v>-1</x:v>
      </x:c>
      <x:c r="L50" s="26" t="n">
        <x:f>IF(A50="","",IF(K50=F50,0,1))</x:f>
        <x:v>0</x:v>
      </x:c>
      <x:c r="M50" s="26" t="n">
        <x:f>IF(A50="","",Parametreler!$B$5*L50*F50*D50)</x:f>
        <x:v>0</x:v>
      </x:c>
      <x:c r="N50" s="26" t="n">
        <x:f>IF(A50="","",Parametreler!$B$5*L50*F50*E50)</x:f>
        <x:v>0</x:v>
      </x:c>
      <x:c r="O50" s="26" t="n">
        <x:f>IF(A50="","",Parametreler!$B$5*L50*F50)</x:f>
        <x:v>0</x:v>
      </x:c>
      <x:c r="P50" s="26" t="n">
        <x:f>IF(A50="","",G50+M50)</x:f>
        <x:v>0.1</x:v>
      </x:c>
      <x:c r="Q50" s="26" t="n">
        <x:f>IF(A50="","",H50+N50)</x:f>
        <x:v>0.1</x:v>
      </x:c>
      <x:c r="R50" s="26" t="n">
        <x:f>IF(A50="","",I50+O50)</x:f>
        <x:v>-0.1</x:v>
      </x:c>
    </x:row>
    <x:row r="51" ht="20" customHeight="1">
      <x:c r="A51" t="n">
        <x:f>IF(47&lt;=Parametreler!$B$9*Parametreler!$B$10,47,"")</x:f>
        <x:v>47</x:v>
      </x:c>
      <x:c r="B51" t="n">
        <x:f>IF(A51="","",INT((A51-1)/Parametreler!$B$10)+1)</x:f>
        <x:v>12</x:v>
      </x:c>
      <x:c r="C51" t="n">
        <x:f>IF(A51="","",MOD(A51-1,Parametreler!$B$10)+1)</x:f>
        <x:v>3</x:v>
      </x:c>
      <x:c r="D51" s="26" t="n">
        <x:f>IF(A51="","",INDEX('Veri Kumesi'!$B$5:$B$8,C51))</x:f>
        <x:v>1</x:v>
      </x:c>
      <x:c r="E51" s="26" t="n">
        <x:f>IF(A51="","",INDEX('Veri Kumesi'!$C$5:$C$8,C51))</x:f>
        <x:v>-1</x:v>
      </x:c>
      <x:c r="F51" s="26" t="n">
        <x:f>IF(A51="","",INDEX('Veri Kumesi'!$D$5:$D$8,C51))</x:f>
        <x:v>-1</x:v>
      </x:c>
      <x:c r="G51" s="26" t="n">
        <x:f>IF(A51="","",P50)</x:f>
        <x:v>0.1</x:v>
      </x:c>
      <x:c r="H51" s="26" t="n">
        <x:f>IF(A51="","",Q50)</x:f>
        <x:v>0.1</x:v>
      </x:c>
      <x:c r="I51" s="26" t="n">
        <x:f>IF(A51="","",R50)</x:f>
        <x:v>-0.1</x:v>
      </x:c>
      <x:c r="J51" s="26" t="n">
        <x:f>IF(A51="","",G51*D51+H51*E51+I51)</x:f>
        <x:v>-0.1</x:v>
      </x:c>
      <x:c r="K51" s="26" t="n">
        <x:f>IF(A51="","",IF(J51&gt;=Parametreler!$B$11,1,-1))</x:f>
        <x:v>-1</x:v>
      </x:c>
      <x:c r="L51" s="26" t="n">
        <x:f>IF(A51="","",IF(K51=F51,0,1))</x:f>
        <x:v>0</x:v>
      </x:c>
      <x:c r="M51" s="26" t="n">
        <x:f>IF(A51="","",Parametreler!$B$5*L51*F51*D51)</x:f>
        <x:v>0</x:v>
      </x:c>
      <x:c r="N51" s="26" t="n">
        <x:f>IF(A51="","",Parametreler!$B$5*L51*F51*E51)</x:f>
        <x:v>0</x:v>
      </x:c>
      <x:c r="O51" s="26" t="n">
        <x:f>IF(A51="","",Parametreler!$B$5*L51*F51)</x:f>
        <x:v>0</x:v>
      </x:c>
      <x:c r="P51" s="26" t="n">
        <x:f>IF(A51="","",G51+M51)</x:f>
        <x:v>0.1</x:v>
      </x:c>
      <x:c r="Q51" s="26" t="n">
        <x:f>IF(A51="","",H51+N51)</x:f>
        <x:v>0.1</x:v>
      </x:c>
      <x:c r="R51" s="26" t="n">
        <x:f>IF(A51="","",I51+O51)</x:f>
        <x:v>-0.1</x:v>
      </x:c>
    </x:row>
    <x:row r="52" ht="20" customHeight="1">
      <x:c r="A52" t="n">
        <x:f>IF(48&lt;=Parametreler!$B$9*Parametreler!$B$10,48,"")</x:f>
        <x:v>48</x:v>
      </x:c>
      <x:c r="B52" t="n">
        <x:f>IF(A52="","",INT((A52-1)/Parametreler!$B$10)+1)</x:f>
        <x:v>12</x:v>
      </x:c>
      <x:c r="C52" t="n">
        <x:f>IF(A52="","",MOD(A52-1,Parametreler!$B$10)+1)</x:f>
        <x:v>4</x:v>
      </x:c>
      <x:c r="D52" s="26" t="n">
        <x:f>IF(A52="","",INDEX('Veri Kumesi'!$B$5:$B$8,C52))</x:f>
        <x:v>1</x:v>
      </x:c>
      <x:c r="E52" s="26" t="n">
        <x:f>IF(A52="","",INDEX('Veri Kumesi'!$C$5:$C$8,C52))</x:f>
        <x:v>1</x:v>
      </x:c>
      <x:c r="F52" s="26" t="n">
        <x:f>IF(A52="","",INDEX('Veri Kumesi'!$D$5:$D$8,C52))</x:f>
        <x:v>1</x:v>
      </x:c>
      <x:c r="G52" s="26" t="n">
        <x:f>IF(A52="","",P51)</x:f>
        <x:v>0.1</x:v>
      </x:c>
      <x:c r="H52" s="26" t="n">
        <x:f>IF(A52="","",Q51)</x:f>
        <x:v>0.1</x:v>
      </x:c>
      <x:c r="I52" s="26" t="n">
        <x:f>IF(A52="","",R51)</x:f>
        <x:v>-0.1</x:v>
      </x:c>
      <x:c r="J52" s="26" t="n">
        <x:f>IF(A52="","",G52*D52+H52*E52+I52)</x:f>
        <x:v>0.1</x:v>
      </x:c>
      <x:c r="K52" s="26" t="n">
        <x:f>IF(A52="","",IF(J52&gt;=Parametreler!$B$11,1,-1))</x:f>
        <x:v>1</x:v>
      </x:c>
      <x:c r="L52" s="26" t="n">
        <x:f>IF(A52="","",IF(K52=F52,0,1))</x:f>
        <x:v>0</x:v>
      </x:c>
      <x:c r="M52" s="26" t="n">
        <x:f>IF(A52="","",Parametreler!$B$5*L52*F52*D52)</x:f>
        <x:v>0</x:v>
      </x:c>
      <x:c r="N52" s="26" t="n">
        <x:f>IF(A52="","",Parametreler!$B$5*L52*F52*E52)</x:f>
        <x:v>0</x:v>
      </x:c>
      <x:c r="O52" s="26" t="n">
        <x:f>IF(A52="","",Parametreler!$B$5*L52*F52)</x:f>
        <x:v>0</x:v>
      </x:c>
      <x:c r="P52" s="26" t="n">
        <x:f>IF(A52="","",G52+M52)</x:f>
        <x:v>0.1</x:v>
      </x:c>
      <x:c r="Q52" s="26" t="n">
        <x:f>IF(A52="","",H52+N52)</x:f>
        <x:v>0.1</x:v>
      </x:c>
      <x:c r="R52" s="26" t="n">
        <x:f>IF(A52="","",I52+O52)</x:f>
        <x:v>-0.1</x:v>
      </x:c>
    </x:row>
    <x:row r="53" ht="20" customHeight="1">
      <x:c r="A53" t="n">
        <x:f>IF(49&lt;=Parametreler!$B$9*Parametreler!$B$10,49,"")</x:f>
        <x:v>49</x:v>
      </x:c>
      <x:c r="B53" t="n">
        <x:f>IF(A53="","",INT((A53-1)/Parametreler!$B$10)+1)</x:f>
        <x:v>13</x:v>
      </x:c>
      <x:c r="C53" t="n">
        <x:f>IF(A53="","",MOD(A53-1,Parametreler!$B$10)+1)</x:f>
        <x:v>1</x:v>
      </x:c>
      <x:c r="D53" s="26" t="n">
        <x:f>IF(A53="","",INDEX('Veri Kumesi'!$B$5:$B$8,C53))</x:f>
        <x:v>-1</x:v>
      </x:c>
      <x:c r="E53" s="26" t="n">
        <x:f>IF(A53="","",INDEX('Veri Kumesi'!$C$5:$C$8,C53))</x:f>
        <x:v>-1</x:v>
      </x:c>
      <x:c r="F53" s="26" t="n">
        <x:f>IF(A53="","",INDEX('Veri Kumesi'!$D$5:$D$8,C53))</x:f>
        <x:v>-1</x:v>
      </x:c>
      <x:c r="G53" s="26" t="n">
        <x:f>IF(A53="","",P52)</x:f>
        <x:v>0.1</x:v>
      </x:c>
      <x:c r="H53" s="26" t="n">
        <x:f>IF(A53="","",Q52)</x:f>
        <x:v>0.1</x:v>
      </x:c>
      <x:c r="I53" s="26" t="n">
        <x:f>IF(A53="","",R52)</x:f>
        <x:v>-0.1</x:v>
      </x:c>
      <x:c r="J53" s="26" t="n">
        <x:f>IF(A53="","",G53*D53+H53*E53+I53)</x:f>
        <x:v>-0.30000000000000004</x:v>
      </x:c>
      <x:c r="K53" s="26" t="n">
        <x:f>IF(A53="","",IF(J53&gt;=Parametreler!$B$11,1,-1))</x:f>
        <x:v>-1</x:v>
      </x:c>
      <x:c r="L53" s="26" t="n">
        <x:f>IF(A53="","",IF(K53=F53,0,1))</x:f>
        <x:v>0</x:v>
      </x:c>
      <x:c r="M53" s="26" t="n">
        <x:f>IF(A53="","",Parametreler!$B$5*L53*F53*D53)</x:f>
        <x:v>0</x:v>
      </x:c>
      <x:c r="N53" s="26" t="n">
        <x:f>IF(A53="","",Parametreler!$B$5*L53*F53*E53)</x:f>
        <x:v>0</x:v>
      </x:c>
      <x:c r="O53" s="26" t="n">
        <x:f>IF(A53="","",Parametreler!$B$5*L53*F53)</x:f>
        <x:v>0</x:v>
      </x:c>
      <x:c r="P53" s="26" t="n">
        <x:f>IF(A53="","",G53+M53)</x:f>
        <x:v>0.1</x:v>
      </x:c>
      <x:c r="Q53" s="26" t="n">
        <x:f>IF(A53="","",H53+N53)</x:f>
        <x:v>0.1</x:v>
      </x:c>
      <x:c r="R53" s="26" t="n">
        <x:f>IF(A53="","",I53+O53)</x:f>
        <x:v>-0.1</x:v>
      </x:c>
    </x:row>
    <x:row r="54" ht="20" customHeight="1">
      <x:c r="A54" t="n">
        <x:f>IF(50&lt;=Parametreler!$B$9*Parametreler!$B$10,50,"")</x:f>
        <x:v>50</x:v>
      </x:c>
      <x:c r="B54" t="n">
        <x:f>IF(A54="","",INT((A54-1)/Parametreler!$B$10)+1)</x:f>
        <x:v>13</x:v>
      </x:c>
      <x:c r="C54" t="n">
        <x:f>IF(A54="","",MOD(A54-1,Parametreler!$B$10)+1)</x:f>
        <x:v>2</x:v>
      </x:c>
      <x:c r="D54" s="26" t="n">
        <x:f>IF(A54="","",INDEX('Veri Kumesi'!$B$5:$B$8,C54))</x:f>
        <x:v>-1</x:v>
      </x:c>
      <x:c r="E54" s="26" t="n">
        <x:f>IF(A54="","",INDEX('Veri Kumesi'!$C$5:$C$8,C54))</x:f>
        <x:v>1</x:v>
      </x:c>
      <x:c r="F54" s="26" t="n">
        <x:f>IF(A54="","",INDEX('Veri Kumesi'!$D$5:$D$8,C54))</x:f>
        <x:v>-1</x:v>
      </x:c>
      <x:c r="G54" s="26" t="n">
        <x:f>IF(A54="","",P53)</x:f>
        <x:v>0.1</x:v>
      </x:c>
      <x:c r="H54" s="26" t="n">
        <x:f>IF(A54="","",Q53)</x:f>
        <x:v>0.1</x:v>
      </x:c>
      <x:c r="I54" s="26" t="n">
        <x:f>IF(A54="","",R53)</x:f>
        <x:v>-0.1</x:v>
      </x:c>
      <x:c r="J54" s="26" t="n">
        <x:f>IF(A54="","",G54*D54+H54*E54+I54)</x:f>
        <x:v>-0.1</x:v>
      </x:c>
      <x:c r="K54" s="26" t="n">
        <x:f>IF(A54="","",IF(J54&gt;=Parametreler!$B$11,1,-1))</x:f>
        <x:v>-1</x:v>
      </x:c>
      <x:c r="L54" s="26" t="n">
        <x:f>IF(A54="","",IF(K54=F54,0,1))</x:f>
        <x:v>0</x:v>
      </x:c>
      <x:c r="M54" s="26" t="n">
        <x:f>IF(A54="","",Parametreler!$B$5*L54*F54*D54)</x:f>
        <x:v>0</x:v>
      </x:c>
      <x:c r="N54" s="26" t="n">
        <x:f>IF(A54="","",Parametreler!$B$5*L54*F54*E54)</x:f>
        <x:v>0</x:v>
      </x:c>
      <x:c r="O54" s="26" t="n">
        <x:f>IF(A54="","",Parametreler!$B$5*L54*F54)</x:f>
        <x:v>0</x:v>
      </x:c>
      <x:c r="P54" s="26" t="n">
        <x:f>IF(A54="","",G54+M54)</x:f>
        <x:v>0.1</x:v>
      </x:c>
      <x:c r="Q54" s="26" t="n">
        <x:f>IF(A54="","",H54+N54)</x:f>
        <x:v>0.1</x:v>
      </x:c>
      <x:c r="R54" s="26" t="n">
        <x:f>IF(A54="","",I54+O54)</x:f>
        <x:v>-0.1</x:v>
      </x:c>
    </x:row>
    <x:row r="55" ht="20" customHeight="1">
      <x:c r="A55" t="n">
        <x:f>IF(51&lt;=Parametreler!$B$9*Parametreler!$B$10,51,"")</x:f>
        <x:v>51</x:v>
      </x:c>
      <x:c r="B55" t="n">
        <x:f>IF(A55="","",INT((A55-1)/Parametreler!$B$10)+1)</x:f>
        <x:v>13</x:v>
      </x:c>
      <x:c r="C55" t="n">
        <x:f>IF(A55="","",MOD(A55-1,Parametreler!$B$10)+1)</x:f>
        <x:v>3</x:v>
      </x:c>
      <x:c r="D55" s="26" t="n">
        <x:f>IF(A55="","",INDEX('Veri Kumesi'!$B$5:$B$8,C55))</x:f>
        <x:v>1</x:v>
      </x:c>
      <x:c r="E55" s="26" t="n">
        <x:f>IF(A55="","",INDEX('Veri Kumesi'!$C$5:$C$8,C55))</x:f>
        <x:v>-1</x:v>
      </x:c>
      <x:c r="F55" s="26" t="n">
        <x:f>IF(A55="","",INDEX('Veri Kumesi'!$D$5:$D$8,C55))</x:f>
        <x:v>-1</x:v>
      </x:c>
      <x:c r="G55" s="26" t="n">
        <x:f>IF(A55="","",P54)</x:f>
        <x:v>0.1</x:v>
      </x:c>
      <x:c r="H55" s="26" t="n">
        <x:f>IF(A55="","",Q54)</x:f>
        <x:v>0.1</x:v>
      </x:c>
      <x:c r="I55" s="26" t="n">
        <x:f>IF(A55="","",R54)</x:f>
        <x:v>-0.1</x:v>
      </x:c>
      <x:c r="J55" s="26" t="n">
        <x:f>IF(A55="","",G55*D55+H55*E55+I55)</x:f>
        <x:v>-0.1</x:v>
      </x:c>
      <x:c r="K55" s="26" t="n">
        <x:f>IF(A55="","",IF(J55&gt;=Parametreler!$B$11,1,-1))</x:f>
        <x:v>-1</x:v>
      </x:c>
      <x:c r="L55" s="26" t="n">
        <x:f>IF(A55="","",IF(K55=F55,0,1))</x:f>
        <x:v>0</x:v>
      </x:c>
      <x:c r="M55" s="26" t="n">
        <x:f>IF(A55="","",Parametreler!$B$5*L55*F55*D55)</x:f>
        <x:v>0</x:v>
      </x:c>
      <x:c r="N55" s="26" t="n">
        <x:f>IF(A55="","",Parametreler!$B$5*L55*F55*E55)</x:f>
        <x:v>0</x:v>
      </x:c>
      <x:c r="O55" s="26" t="n">
        <x:f>IF(A55="","",Parametreler!$B$5*L55*F55)</x:f>
        <x:v>0</x:v>
      </x:c>
      <x:c r="P55" s="26" t="n">
        <x:f>IF(A55="","",G55+M55)</x:f>
        <x:v>0.1</x:v>
      </x:c>
      <x:c r="Q55" s="26" t="n">
        <x:f>IF(A55="","",H55+N55)</x:f>
        <x:v>0.1</x:v>
      </x:c>
      <x:c r="R55" s="26" t="n">
        <x:f>IF(A55="","",I55+O55)</x:f>
        <x:v>-0.1</x:v>
      </x:c>
    </x:row>
    <x:row r="56" ht="20" customHeight="1">
      <x:c r="A56" t="n">
        <x:f>IF(52&lt;=Parametreler!$B$9*Parametreler!$B$10,52,"")</x:f>
        <x:v>52</x:v>
      </x:c>
      <x:c r="B56" t="n">
        <x:f>IF(A56="","",INT((A56-1)/Parametreler!$B$10)+1)</x:f>
        <x:v>13</x:v>
      </x:c>
      <x:c r="C56" t="n">
        <x:f>IF(A56="","",MOD(A56-1,Parametreler!$B$10)+1)</x:f>
        <x:v>4</x:v>
      </x:c>
      <x:c r="D56" s="26" t="n">
        <x:f>IF(A56="","",INDEX('Veri Kumesi'!$B$5:$B$8,C56))</x:f>
        <x:v>1</x:v>
      </x:c>
      <x:c r="E56" s="26" t="n">
        <x:f>IF(A56="","",INDEX('Veri Kumesi'!$C$5:$C$8,C56))</x:f>
        <x:v>1</x:v>
      </x:c>
      <x:c r="F56" s="26" t="n">
        <x:f>IF(A56="","",INDEX('Veri Kumesi'!$D$5:$D$8,C56))</x:f>
        <x:v>1</x:v>
      </x:c>
      <x:c r="G56" s="26" t="n">
        <x:f>IF(A56="","",P55)</x:f>
        <x:v>0.1</x:v>
      </x:c>
      <x:c r="H56" s="26" t="n">
        <x:f>IF(A56="","",Q55)</x:f>
        <x:v>0.1</x:v>
      </x:c>
      <x:c r="I56" s="26" t="n">
        <x:f>IF(A56="","",R55)</x:f>
        <x:v>-0.1</x:v>
      </x:c>
      <x:c r="J56" s="26" t="n">
        <x:f>IF(A56="","",G56*D56+H56*E56+I56)</x:f>
        <x:v>0.1</x:v>
      </x:c>
      <x:c r="K56" s="26" t="n">
        <x:f>IF(A56="","",IF(J56&gt;=Parametreler!$B$11,1,-1))</x:f>
        <x:v>1</x:v>
      </x:c>
      <x:c r="L56" s="26" t="n">
        <x:f>IF(A56="","",IF(K56=F56,0,1))</x:f>
        <x:v>0</x:v>
      </x:c>
      <x:c r="M56" s="26" t="n">
        <x:f>IF(A56="","",Parametreler!$B$5*L56*F56*D56)</x:f>
        <x:v>0</x:v>
      </x:c>
      <x:c r="N56" s="26" t="n">
        <x:f>IF(A56="","",Parametreler!$B$5*L56*F56*E56)</x:f>
        <x:v>0</x:v>
      </x:c>
      <x:c r="O56" s="26" t="n">
        <x:f>IF(A56="","",Parametreler!$B$5*L56*F56)</x:f>
        <x:v>0</x:v>
      </x:c>
      <x:c r="P56" s="26" t="n">
        <x:f>IF(A56="","",G56+M56)</x:f>
        <x:v>0.1</x:v>
      </x:c>
      <x:c r="Q56" s="26" t="n">
        <x:f>IF(A56="","",H56+N56)</x:f>
        <x:v>0.1</x:v>
      </x:c>
      <x:c r="R56" s="26" t="n">
        <x:f>IF(A56="","",I56+O56)</x:f>
        <x:v>-0.1</x:v>
      </x:c>
    </x:row>
    <x:row r="57" ht="20" customHeight="1">
      <x:c r="A57" t="n">
        <x:f>IF(53&lt;=Parametreler!$B$9*Parametreler!$B$10,53,"")</x:f>
        <x:v>53</x:v>
      </x:c>
      <x:c r="B57" t="n">
        <x:f>IF(A57="","",INT((A57-1)/Parametreler!$B$10)+1)</x:f>
        <x:v>14</x:v>
      </x:c>
      <x:c r="C57" t="n">
        <x:f>IF(A57="","",MOD(A57-1,Parametreler!$B$10)+1)</x:f>
        <x:v>1</x:v>
      </x:c>
      <x:c r="D57" s="26" t="n">
        <x:f>IF(A57="","",INDEX('Veri Kumesi'!$B$5:$B$8,C57))</x:f>
        <x:v>-1</x:v>
      </x:c>
      <x:c r="E57" s="26" t="n">
        <x:f>IF(A57="","",INDEX('Veri Kumesi'!$C$5:$C$8,C57))</x:f>
        <x:v>-1</x:v>
      </x:c>
      <x:c r="F57" s="26" t="n">
        <x:f>IF(A57="","",INDEX('Veri Kumesi'!$D$5:$D$8,C57))</x:f>
        <x:v>-1</x:v>
      </x:c>
      <x:c r="G57" s="26" t="n">
        <x:f>IF(A57="","",P56)</x:f>
        <x:v>0.1</x:v>
      </x:c>
      <x:c r="H57" s="26" t="n">
        <x:f>IF(A57="","",Q56)</x:f>
        <x:v>0.1</x:v>
      </x:c>
      <x:c r="I57" s="26" t="n">
        <x:f>IF(A57="","",R56)</x:f>
        <x:v>-0.1</x:v>
      </x:c>
      <x:c r="J57" s="26" t="n">
        <x:f>IF(A57="","",G57*D57+H57*E57+I57)</x:f>
        <x:v>-0.30000000000000004</x:v>
      </x:c>
      <x:c r="K57" s="26" t="n">
        <x:f>IF(A57="","",IF(J57&gt;=Parametreler!$B$11,1,-1))</x:f>
        <x:v>-1</x:v>
      </x:c>
      <x:c r="L57" s="26" t="n">
        <x:f>IF(A57="","",IF(K57=F57,0,1))</x:f>
        <x:v>0</x:v>
      </x:c>
      <x:c r="M57" s="26" t="n">
        <x:f>IF(A57="","",Parametreler!$B$5*L57*F57*D57)</x:f>
        <x:v>0</x:v>
      </x:c>
      <x:c r="N57" s="26" t="n">
        <x:f>IF(A57="","",Parametreler!$B$5*L57*F57*E57)</x:f>
        <x:v>0</x:v>
      </x:c>
      <x:c r="O57" s="26" t="n">
        <x:f>IF(A57="","",Parametreler!$B$5*L57*F57)</x:f>
        <x:v>0</x:v>
      </x:c>
      <x:c r="P57" s="26" t="n">
        <x:f>IF(A57="","",G57+M57)</x:f>
        <x:v>0.1</x:v>
      </x:c>
      <x:c r="Q57" s="26" t="n">
        <x:f>IF(A57="","",H57+N57)</x:f>
        <x:v>0.1</x:v>
      </x:c>
      <x:c r="R57" s="26" t="n">
        <x:f>IF(A57="","",I57+O57)</x:f>
        <x:v>-0.1</x:v>
      </x:c>
    </x:row>
    <x:row r="58" ht="20" customHeight="1">
      <x:c r="A58" t="n">
        <x:f>IF(54&lt;=Parametreler!$B$9*Parametreler!$B$10,54,"")</x:f>
        <x:v>54</x:v>
      </x:c>
      <x:c r="B58" t="n">
        <x:f>IF(A58="","",INT((A58-1)/Parametreler!$B$10)+1)</x:f>
        <x:v>14</x:v>
      </x:c>
      <x:c r="C58" t="n">
        <x:f>IF(A58="","",MOD(A58-1,Parametreler!$B$10)+1)</x:f>
        <x:v>2</x:v>
      </x:c>
      <x:c r="D58" s="26" t="n">
        <x:f>IF(A58="","",INDEX('Veri Kumesi'!$B$5:$B$8,C58))</x:f>
        <x:v>-1</x:v>
      </x:c>
      <x:c r="E58" s="26" t="n">
        <x:f>IF(A58="","",INDEX('Veri Kumesi'!$C$5:$C$8,C58))</x:f>
        <x:v>1</x:v>
      </x:c>
      <x:c r="F58" s="26" t="n">
        <x:f>IF(A58="","",INDEX('Veri Kumesi'!$D$5:$D$8,C58))</x:f>
        <x:v>-1</x:v>
      </x:c>
      <x:c r="G58" s="26" t="n">
        <x:f>IF(A58="","",P57)</x:f>
        <x:v>0.1</x:v>
      </x:c>
      <x:c r="H58" s="26" t="n">
        <x:f>IF(A58="","",Q57)</x:f>
        <x:v>0.1</x:v>
      </x:c>
      <x:c r="I58" s="26" t="n">
        <x:f>IF(A58="","",R57)</x:f>
        <x:v>-0.1</x:v>
      </x:c>
      <x:c r="J58" s="26" t="n">
        <x:f>IF(A58="","",G58*D58+H58*E58+I58)</x:f>
        <x:v>-0.1</x:v>
      </x:c>
      <x:c r="K58" s="26" t="n">
        <x:f>IF(A58="","",IF(J58&gt;=Parametreler!$B$11,1,-1))</x:f>
        <x:v>-1</x:v>
      </x:c>
      <x:c r="L58" s="26" t="n">
        <x:f>IF(A58="","",IF(K58=F58,0,1))</x:f>
        <x:v>0</x:v>
      </x:c>
      <x:c r="M58" s="26" t="n">
        <x:f>IF(A58="","",Parametreler!$B$5*L58*F58*D58)</x:f>
        <x:v>0</x:v>
      </x:c>
      <x:c r="N58" s="26" t="n">
        <x:f>IF(A58="","",Parametreler!$B$5*L58*F58*E58)</x:f>
        <x:v>0</x:v>
      </x:c>
      <x:c r="O58" s="26" t="n">
        <x:f>IF(A58="","",Parametreler!$B$5*L58*F58)</x:f>
        <x:v>0</x:v>
      </x:c>
      <x:c r="P58" s="26" t="n">
        <x:f>IF(A58="","",G58+M58)</x:f>
        <x:v>0.1</x:v>
      </x:c>
      <x:c r="Q58" s="26" t="n">
        <x:f>IF(A58="","",H58+N58)</x:f>
        <x:v>0.1</x:v>
      </x:c>
      <x:c r="R58" s="26" t="n">
        <x:f>IF(A58="","",I58+O58)</x:f>
        <x:v>-0.1</x:v>
      </x:c>
    </x:row>
    <x:row r="59" ht="20" customHeight="1">
      <x:c r="A59" t="n">
        <x:f>IF(55&lt;=Parametreler!$B$9*Parametreler!$B$10,55,"")</x:f>
        <x:v>55</x:v>
      </x:c>
      <x:c r="B59" t="n">
        <x:f>IF(A59="","",INT((A59-1)/Parametreler!$B$10)+1)</x:f>
        <x:v>14</x:v>
      </x:c>
      <x:c r="C59" t="n">
        <x:f>IF(A59="","",MOD(A59-1,Parametreler!$B$10)+1)</x:f>
        <x:v>3</x:v>
      </x:c>
      <x:c r="D59" s="26" t="n">
        <x:f>IF(A59="","",INDEX('Veri Kumesi'!$B$5:$B$8,C59))</x:f>
        <x:v>1</x:v>
      </x:c>
      <x:c r="E59" s="26" t="n">
        <x:f>IF(A59="","",INDEX('Veri Kumesi'!$C$5:$C$8,C59))</x:f>
        <x:v>-1</x:v>
      </x:c>
      <x:c r="F59" s="26" t="n">
        <x:f>IF(A59="","",INDEX('Veri Kumesi'!$D$5:$D$8,C59))</x:f>
        <x:v>-1</x:v>
      </x:c>
      <x:c r="G59" s="26" t="n">
        <x:f>IF(A59="","",P58)</x:f>
        <x:v>0.1</x:v>
      </x:c>
      <x:c r="H59" s="26" t="n">
        <x:f>IF(A59="","",Q58)</x:f>
        <x:v>0.1</x:v>
      </x:c>
      <x:c r="I59" s="26" t="n">
        <x:f>IF(A59="","",R58)</x:f>
        <x:v>-0.1</x:v>
      </x:c>
      <x:c r="J59" s="26" t="n">
        <x:f>IF(A59="","",G59*D59+H59*E59+I59)</x:f>
        <x:v>-0.1</x:v>
      </x:c>
      <x:c r="K59" s="26" t="n">
        <x:f>IF(A59="","",IF(J59&gt;=Parametreler!$B$11,1,-1))</x:f>
        <x:v>-1</x:v>
      </x:c>
      <x:c r="L59" s="26" t="n">
        <x:f>IF(A59="","",IF(K59=F59,0,1))</x:f>
        <x:v>0</x:v>
      </x:c>
      <x:c r="M59" s="26" t="n">
        <x:f>IF(A59="","",Parametreler!$B$5*L59*F59*D59)</x:f>
        <x:v>0</x:v>
      </x:c>
      <x:c r="N59" s="26" t="n">
        <x:f>IF(A59="","",Parametreler!$B$5*L59*F59*E59)</x:f>
        <x:v>0</x:v>
      </x:c>
      <x:c r="O59" s="26" t="n">
        <x:f>IF(A59="","",Parametreler!$B$5*L59*F59)</x:f>
        <x:v>0</x:v>
      </x:c>
      <x:c r="P59" s="26" t="n">
        <x:f>IF(A59="","",G59+M59)</x:f>
        <x:v>0.1</x:v>
      </x:c>
      <x:c r="Q59" s="26" t="n">
        <x:f>IF(A59="","",H59+N59)</x:f>
        <x:v>0.1</x:v>
      </x:c>
      <x:c r="R59" s="26" t="n">
        <x:f>IF(A59="","",I59+O59)</x:f>
        <x:v>-0.1</x:v>
      </x:c>
    </x:row>
    <x:row r="60" ht="20" customHeight="1">
      <x:c r="A60" t="n">
        <x:f>IF(56&lt;=Parametreler!$B$9*Parametreler!$B$10,56,"")</x:f>
        <x:v>56</x:v>
      </x:c>
      <x:c r="B60" t="n">
        <x:f>IF(A60="","",INT((A60-1)/Parametreler!$B$10)+1)</x:f>
        <x:v>14</x:v>
      </x:c>
      <x:c r="C60" t="n">
        <x:f>IF(A60="","",MOD(A60-1,Parametreler!$B$10)+1)</x:f>
        <x:v>4</x:v>
      </x:c>
      <x:c r="D60" s="26" t="n">
        <x:f>IF(A60="","",INDEX('Veri Kumesi'!$B$5:$B$8,C60))</x:f>
        <x:v>1</x:v>
      </x:c>
      <x:c r="E60" s="26" t="n">
        <x:f>IF(A60="","",INDEX('Veri Kumesi'!$C$5:$C$8,C60))</x:f>
        <x:v>1</x:v>
      </x:c>
      <x:c r="F60" s="26" t="n">
        <x:f>IF(A60="","",INDEX('Veri Kumesi'!$D$5:$D$8,C60))</x:f>
        <x:v>1</x:v>
      </x:c>
      <x:c r="G60" s="26" t="n">
        <x:f>IF(A60="","",P59)</x:f>
        <x:v>0.1</x:v>
      </x:c>
      <x:c r="H60" s="26" t="n">
        <x:f>IF(A60="","",Q59)</x:f>
        <x:v>0.1</x:v>
      </x:c>
      <x:c r="I60" s="26" t="n">
        <x:f>IF(A60="","",R59)</x:f>
        <x:v>-0.1</x:v>
      </x:c>
      <x:c r="J60" s="26" t="n">
        <x:f>IF(A60="","",G60*D60+H60*E60+I60)</x:f>
        <x:v>0.1</x:v>
      </x:c>
      <x:c r="K60" s="26" t="n">
        <x:f>IF(A60="","",IF(J60&gt;=Parametreler!$B$11,1,-1))</x:f>
        <x:v>1</x:v>
      </x:c>
      <x:c r="L60" s="26" t="n">
        <x:f>IF(A60="","",IF(K60=F60,0,1))</x:f>
        <x:v>0</x:v>
      </x:c>
      <x:c r="M60" s="26" t="n">
        <x:f>IF(A60="","",Parametreler!$B$5*L60*F60*D60)</x:f>
        <x:v>0</x:v>
      </x:c>
      <x:c r="N60" s="26" t="n">
        <x:f>IF(A60="","",Parametreler!$B$5*L60*F60*E60)</x:f>
        <x:v>0</x:v>
      </x:c>
      <x:c r="O60" s="26" t="n">
        <x:f>IF(A60="","",Parametreler!$B$5*L60*F60)</x:f>
        <x:v>0</x:v>
      </x:c>
      <x:c r="P60" s="26" t="n">
        <x:f>IF(A60="","",G60+M60)</x:f>
        <x:v>0.1</x:v>
      </x:c>
      <x:c r="Q60" s="26" t="n">
        <x:f>IF(A60="","",H60+N60)</x:f>
        <x:v>0.1</x:v>
      </x:c>
      <x:c r="R60" s="26" t="n">
        <x:f>IF(A60="","",I60+O60)</x:f>
        <x:v>-0.1</x:v>
      </x:c>
    </x:row>
    <x:row r="61" ht="20" customHeight="1">
      <x:c r="A61" t="n">
        <x:f>IF(57&lt;=Parametreler!$B$9*Parametreler!$B$10,57,"")</x:f>
        <x:v>57</x:v>
      </x:c>
      <x:c r="B61" t="n">
        <x:f>IF(A61="","",INT((A61-1)/Parametreler!$B$10)+1)</x:f>
        <x:v>15</x:v>
      </x:c>
      <x:c r="C61" t="n">
        <x:f>IF(A61="","",MOD(A61-1,Parametreler!$B$10)+1)</x:f>
        <x:v>1</x:v>
      </x:c>
      <x:c r="D61" s="26" t="n">
        <x:f>IF(A61="","",INDEX('Veri Kumesi'!$B$5:$B$8,C61))</x:f>
        <x:v>-1</x:v>
      </x:c>
      <x:c r="E61" s="26" t="n">
        <x:f>IF(A61="","",INDEX('Veri Kumesi'!$C$5:$C$8,C61))</x:f>
        <x:v>-1</x:v>
      </x:c>
      <x:c r="F61" s="26" t="n">
        <x:f>IF(A61="","",INDEX('Veri Kumesi'!$D$5:$D$8,C61))</x:f>
        <x:v>-1</x:v>
      </x:c>
      <x:c r="G61" s="26" t="n">
        <x:f>IF(A61="","",P60)</x:f>
        <x:v>0.1</x:v>
      </x:c>
      <x:c r="H61" s="26" t="n">
        <x:f>IF(A61="","",Q60)</x:f>
        <x:v>0.1</x:v>
      </x:c>
      <x:c r="I61" s="26" t="n">
        <x:f>IF(A61="","",R60)</x:f>
        <x:v>-0.1</x:v>
      </x:c>
      <x:c r="J61" s="26" t="n">
        <x:f>IF(A61="","",G61*D61+H61*E61+I61)</x:f>
        <x:v>-0.30000000000000004</x:v>
      </x:c>
      <x:c r="K61" s="26" t="n">
        <x:f>IF(A61="","",IF(J61&gt;=Parametreler!$B$11,1,-1))</x:f>
        <x:v>-1</x:v>
      </x:c>
      <x:c r="L61" s="26" t="n">
        <x:f>IF(A61="","",IF(K61=F61,0,1))</x:f>
        <x:v>0</x:v>
      </x:c>
      <x:c r="M61" s="26" t="n">
        <x:f>IF(A61="","",Parametreler!$B$5*L61*F61*D61)</x:f>
        <x:v>0</x:v>
      </x:c>
      <x:c r="N61" s="26" t="n">
        <x:f>IF(A61="","",Parametreler!$B$5*L61*F61*E61)</x:f>
        <x:v>0</x:v>
      </x:c>
      <x:c r="O61" s="26" t="n">
        <x:f>IF(A61="","",Parametreler!$B$5*L61*F61)</x:f>
        <x:v>0</x:v>
      </x:c>
      <x:c r="P61" s="26" t="n">
        <x:f>IF(A61="","",G61+M61)</x:f>
        <x:v>0.1</x:v>
      </x:c>
      <x:c r="Q61" s="26" t="n">
        <x:f>IF(A61="","",H61+N61)</x:f>
        <x:v>0.1</x:v>
      </x:c>
      <x:c r="R61" s="26" t="n">
        <x:f>IF(A61="","",I61+O61)</x:f>
        <x:v>-0.1</x:v>
      </x:c>
    </x:row>
    <x:row r="62" ht="20" customHeight="1">
      <x:c r="A62" t="n">
        <x:f>IF(58&lt;=Parametreler!$B$9*Parametreler!$B$10,58,"")</x:f>
        <x:v>58</x:v>
      </x:c>
      <x:c r="B62" t="n">
        <x:f>IF(A62="","",INT((A62-1)/Parametreler!$B$10)+1)</x:f>
        <x:v>15</x:v>
      </x:c>
      <x:c r="C62" t="n">
        <x:f>IF(A62="","",MOD(A62-1,Parametreler!$B$10)+1)</x:f>
        <x:v>2</x:v>
      </x:c>
      <x:c r="D62" s="26" t="n">
        <x:f>IF(A62="","",INDEX('Veri Kumesi'!$B$5:$B$8,C62))</x:f>
        <x:v>-1</x:v>
      </x:c>
      <x:c r="E62" s="26" t="n">
        <x:f>IF(A62="","",INDEX('Veri Kumesi'!$C$5:$C$8,C62))</x:f>
        <x:v>1</x:v>
      </x:c>
      <x:c r="F62" s="26" t="n">
        <x:f>IF(A62="","",INDEX('Veri Kumesi'!$D$5:$D$8,C62))</x:f>
        <x:v>-1</x:v>
      </x:c>
      <x:c r="G62" s="26" t="n">
        <x:f>IF(A62="","",P61)</x:f>
        <x:v>0.1</x:v>
      </x:c>
      <x:c r="H62" s="26" t="n">
        <x:f>IF(A62="","",Q61)</x:f>
        <x:v>0.1</x:v>
      </x:c>
      <x:c r="I62" s="26" t="n">
        <x:f>IF(A62="","",R61)</x:f>
        <x:v>-0.1</x:v>
      </x:c>
      <x:c r="J62" s="26" t="n">
        <x:f>IF(A62="","",G62*D62+H62*E62+I62)</x:f>
        <x:v>-0.1</x:v>
      </x:c>
      <x:c r="K62" s="26" t="n">
        <x:f>IF(A62="","",IF(J62&gt;=Parametreler!$B$11,1,-1))</x:f>
        <x:v>-1</x:v>
      </x:c>
      <x:c r="L62" s="26" t="n">
        <x:f>IF(A62="","",IF(K62=F62,0,1))</x:f>
        <x:v>0</x:v>
      </x:c>
      <x:c r="M62" s="26" t="n">
        <x:f>IF(A62="","",Parametreler!$B$5*L62*F62*D62)</x:f>
        <x:v>0</x:v>
      </x:c>
      <x:c r="N62" s="26" t="n">
        <x:f>IF(A62="","",Parametreler!$B$5*L62*F62*E62)</x:f>
        <x:v>0</x:v>
      </x:c>
      <x:c r="O62" s="26" t="n">
        <x:f>IF(A62="","",Parametreler!$B$5*L62*F62)</x:f>
        <x:v>0</x:v>
      </x:c>
      <x:c r="P62" s="26" t="n">
        <x:f>IF(A62="","",G62+M62)</x:f>
        <x:v>0.1</x:v>
      </x:c>
      <x:c r="Q62" s="26" t="n">
        <x:f>IF(A62="","",H62+N62)</x:f>
        <x:v>0.1</x:v>
      </x:c>
      <x:c r="R62" s="26" t="n">
        <x:f>IF(A62="","",I62+O62)</x:f>
        <x:v>-0.1</x:v>
      </x:c>
    </x:row>
    <x:row r="63" ht="20" customHeight="1">
      <x:c r="A63" t="n">
        <x:f>IF(59&lt;=Parametreler!$B$9*Parametreler!$B$10,59,"")</x:f>
        <x:v>59</x:v>
      </x:c>
      <x:c r="B63" t="n">
        <x:f>IF(A63="","",INT((A63-1)/Parametreler!$B$10)+1)</x:f>
        <x:v>15</x:v>
      </x:c>
      <x:c r="C63" t="n">
        <x:f>IF(A63="","",MOD(A63-1,Parametreler!$B$10)+1)</x:f>
        <x:v>3</x:v>
      </x:c>
      <x:c r="D63" s="26" t="n">
        <x:f>IF(A63="","",INDEX('Veri Kumesi'!$B$5:$B$8,C63))</x:f>
        <x:v>1</x:v>
      </x:c>
      <x:c r="E63" s="26" t="n">
        <x:f>IF(A63="","",INDEX('Veri Kumesi'!$C$5:$C$8,C63))</x:f>
        <x:v>-1</x:v>
      </x:c>
      <x:c r="F63" s="26" t="n">
        <x:f>IF(A63="","",INDEX('Veri Kumesi'!$D$5:$D$8,C63))</x:f>
        <x:v>-1</x:v>
      </x:c>
      <x:c r="G63" s="26" t="n">
        <x:f>IF(A63="","",P62)</x:f>
        <x:v>0.1</x:v>
      </x:c>
      <x:c r="H63" s="26" t="n">
        <x:f>IF(A63="","",Q62)</x:f>
        <x:v>0.1</x:v>
      </x:c>
      <x:c r="I63" s="26" t="n">
        <x:f>IF(A63="","",R62)</x:f>
        <x:v>-0.1</x:v>
      </x:c>
      <x:c r="J63" s="26" t="n">
        <x:f>IF(A63="","",G63*D63+H63*E63+I63)</x:f>
        <x:v>-0.1</x:v>
      </x:c>
      <x:c r="K63" s="26" t="n">
        <x:f>IF(A63="","",IF(J63&gt;=Parametreler!$B$11,1,-1))</x:f>
        <x:v>-1</x:v>
      </x:c>
      <x:c r="L63" s="26" t="n">
        <x:f>IF(A63="","",IF(K63=F63,0,1))</x:f>
        <x:v>0</x:v>
      </x:c>
      <x:c r="M63" s="26" t="n">
        <x:f>IF(A63="","",Parametreler!$B$5*L63*F63*D63)</x:f>
        <x:v>0</x:v>
      </x:c>
      <x:c r="N63" s="26" t="n">
        <x:f>IF(A63="","",Parametreler!$B$5*L63*F63*E63)</x:f>
        <x:v>0</x:v>
      </x:c>
      <x:c r="O63" s="26" t="n">
        <x:f>IF(A63="","",Parametreler!$B$5*L63*F63)</x:f>
        <x:v>0</x:v>
      </x:c>
      <x:c r="P63" s="26" t="n">
        <x:f>IF(A63="","",G63+M63)</x:f>
        <x:v>0.1</x:v>
      </x:c>
      <x:c r="Q63" s="26" t="n">
        <x:f>IF(A63="","",H63+N63)</x:f>
        <x:v>0.1</x:v>
      </x:c>
      <x:c r="R63" s="26" t="n">
        <x:f>IF(A63="","",I63+O63)</x:f>
        <x:v>-0.1</x:v>
      </x:c>
    </x:row>
    <x:row r="64" ht="20" customHeight="1">
      <x:c r="A64" t="n">
        <x:f>IF(60&lt;=Parametreler!$B$9*Parametreler!$B$10,60,"")</x:f>
        <x:v>60</x:v>
      </x:c>
      <x:c r="B64" t="n">
        <x:f>IF(A64="","",INT((A64-1)/Parametreler!$B$10)+1)</x:f>
        <x:v>15</x:v>
      </x:c>
      <x:c r="C64" t="n">
        <x:f>IF(A64="","",MOD(A64-1,Parametreler!$B$10)+1)</x:f>
        <x:v>4</x:v>
      </x:c>
      <x:c r="D64" s="26" t="n">
        <x:f>IF(A64="","",INDEX('Veri Kumesi'!$B$5:$B$8,C64))</x:f>
        <x:v>1</x:v>
      </x:c>
      <x:c r="E64" s="26" t="n">
        <x:f>IF(A64="","",INDEX('Veri Kumesi'!$C$5:$C$8,C64))</x:f>
        <x:v>1</x:v>
      </x:c>
      <x:c r="F64" s="26" t="n">
        <x:f>IF(A64="","",INDEX('Veri Kumesi'!$D$5:$D$8,C64))</x:f>
        <x:v>1</x:v>
      </x:c>
      <x:c r="G64" s="26" t="n">
        <x:f>IF(A64="","",P63)</x:f>
        <x:v>0.1</x:v>
      </x:c>
      <x:c r="H64" s="26" t="n">
        <x:f>IF(A64="","",Q63)</x:f>
        <x:v>0.1</x:v>
      </x:c>
      <x:c r="I64" s="26" t="n">
        <x:f>IF(A64="","",R63)</x:f>
        <x:v>-0.1</x:v>
      </x:c>
      <x:c r="J64" s="26" t="n">
        <x:f>IF(A64="","",G64*D64+H64*E64+I64)</x:f>
        <x:v>0.1</x:v>
      </x:c>
      <x:c r="K64" s="26" t="n">
        <x:f>IF(A64="","",IF(J64&gt;=Parametreler!$B$11,1,-1))</x:f>
        <x:v>1</x:v>
      </x:c>
      <x:c r="L64" s="26" t="n">
        <x:f>IF(A64="","",IF(K64=F64,0,1))</x:f>
        <x:v>0</x:v>
      </x:c>
      <x:c r="M64" s="26" t="n">
        <x:f>IF(A64="","",Parametreler!$B$5*L64*F64*D64)</x:f>
        <x:v>0</x:v>
      </x:c>
      <x:c r="N64" s="26" t="n">
        <x:f>IF(A64="","",Parametreler!$B$5*L64*F64*E64)</x:f>
        <x:v>0</x:v>
      </x:c>
      <x:c r="O64" s="26" t="n">
        <x:f>IF(A64="","",Parametreler!$B$5*L64*F64)</x:f>
        <x:v>0</x:v>
      </x:c>
      <x:c r="P64" s="26" t="n">
        <x:f>IF(A64="","",G64+M64)</x:f>
        <x:v>0.1</x:v>
      </x:c>
      <x:c r="Q64" s="26" t="n">
        <x:f>IF(A64="","",H64+N64)</x:f>
        <x:v>0.1</x:v>
      </x:c>
      <x:c r="R64" s="26" t="n">
        <x:f>IF(A64="","",I64+O64)</x:f>
        <x:v>-0.1</x:v>
      </x:c>
    </x:row>
    <x:row r="65" ht="20" customHeight="1">
      <x:c r="A65" t="n">
        <x:f>IF(61&lt;=Parametreler!$B$9*Parametreler!$B$10,61,"")</x:f>
        <x:v>61</x:v>
      </x:c>
      <x:c r="B65" t="n">
        <x:f>IF(A65="","",INT((A65-1)/Parametreler!$B$10)+1)</x:f>
        <x:v>16</x:v>
      </x:c>
      <x:c r="C65" t="n">
        <x:f>IF(A65="","",MOD(A65-1,Parametreler!$B$10)+1)</x:f>
        <x:v>1</x:v>
      </x:c>
      <x:c r="D65" s="26" t="n">
        <x:f>IF(A65="","",INDEX('Veri Kumesi'!$B$5:$B$8,C65))</x:f>
        <x:v>-1</x:v>
      </x:c>
      <x:c r="E65" s="26" t="n">
        <x:f>IF(A65="","",INDEX('Veri Kumesi'!$C$5:$C$8,C65))</x:f>
        <x:v>-1</x:v>
      </x:c>
      <x:c r="F65" s="26" t="n">
        <x:f>IF(A65="","",INDEX('Veri Kumesi'!$D$5:$D$8,C65))</x:f>
        <x:v>-1</x:v>
      </x:c>
      <x:c r="G65" s="26" t="n">
        <x:f>IF(A65="","",P64)</x:f>
        <x:v>0.1</x:v>
      </x:c>
      <x:c r="H65" s="26" t="n">
        <x:f>IF(A65="","",Q64)</x:f>
        <x:v>0.1</x:v>
      </x:c>
      <x:c r="I65" s="26" t="n">
        <x:f>IF(A65="","",R64)</x:f>
        <x:v>-0.1</x:v>
      </x:c>
      <x:c r="J65" s="26" t="n">
        <x:f>IF(A65="","",G65*D65+H65*E65+I65)</x:f>
        <x:v>-0.30000000000000004</x:v>
      </x:c>
      <x:c r="K65" s="26" t="n">
        <x:f>IF(A65="","",IF(J65&gt;=Parametreler!$B$11,1,-1))</x:f>
        <x:v>-1</x:v>
      </x:c>
      <x:c r="L65" s="26" t="n">
        <x:f>IF(A65="","",IF(K65=F65,0,1))</x:f>
        <x:v>0</x:v>
      </x:c>
      <x:c r="M65" s="26" t="n">
        <x:f>IF(A65="","",Parametreler!$B$5*L65*F65*D65)</x:f>
        <x:v>0</x:v>
      </x:c>
      <x:c r="N65" s="26" t="n">
        <x:f>IF(A65="","",Parametreler!$B$5*L65*F65*E65)</x:f>
        <x:v>0</x:v>
      </x:c>
      <x:c r="O65" s="26" t="n">
        <x:f>IF(A65="","",Parametreler!$B$5*L65*F65)</x:f>
        <x:v>0</x:v>
      </x:c>
      <x:c r="P65" s="26" t="n">
        <x:f>IF(A65="","",G65+M65)</x:f>
        <x:v>0.1</x:v>
      </x:c>
      <x:c r="Q65" s="26" t="n">
        <x:f>IF(A65="","",H65+N65)</x:f>
        <x:v>0.1</x:v>
      </x:c>
      <x:c r="R65" s="26" t="n">
        <x:f>IF(A65="","",I65+O65)</x:f>
        <x:v>-0.1</x:v>
      </x:c>
    </x:row>
    <x:row r="66" ht="20" customHeight="1">
      <x:c r="A66" t="n">
        <x:f>IF(62&lt;=Parametreler!$B$9*Parametreler!$B$10,62,"")</x:f>
        <x:v>62</x:v>
      </x:c>
      <x:c r="B66" t="n">
        <x:f>IF(A66="","",INT((A66-1)/Parametreler!$B$10)+1)</x:f>
        <x:v>16</x:v>
      </x:c>
      <x:c r="C66" t="n">
        <x:f>IF(A66="","",MOD(A66-1,Parametreler!$B$10)+1)</x:f>
        <x:v>2</x:v>
      </x:c>
      <x:c r="D66" s="26" t="n">
        <x:f>IF(A66="","",INDEX('Veri Kumesi'!$B$5:$B$8,C66))</x:f>
        <x:v>-1</x:v>
      </x:c>
      <x:c r="E66" s="26" t="n">
        <x:f>IF(A66="","",INDEX('Veri Kumesi'!$C$5:$C$8,C66))</x:f>
        <x:v>1</x:v>
      </x:c>
      <x:c r="F66" s="26" t="n">
        <x:f>IF(A66="","",INDEX('Veri Kumesi'!$D$5:$D$8,C66))</x:f>
        <x:v>-1</x:v>
      </x:c>
      <x:c r="G66" s="26" t="n">
        <x:f>IF(A66="","",P65)</x:f>
        <x:v>0.1</x:v>
      </x:c>
      <x:c r="H66" s="26" t="n">
        <x:f>IF(A66="","",Q65)</x:f>
        <x:v>0.1</x:v>
      </x:c>
      <x:c r="I66" s="26" t="n">
        <x:f>IF(A66="","",R65)</x:f>
        <x:v>-0.1</x:v>
      </x:c>
      <x:c r="J66" s="26" t="n">
        <x:f>IF(A66="","",G66*D66+H66*E66+I66)</x:f>
        <x:v>-0.1</x:v>
      </x:c>
      <x:c r="K66" s="26" t="n">
        <x:f>IF(A66="","",IF(J66&gt;=Parametreler!$B$11,1,-1))</x:f>
        <x:v>-1</x:v>
      </x:c>
      <x:c r="L66" s="26" t="n">
        <x:f>IF(A66="","",IF(K66=F66,0,1))</x:f>
        <x:v>0</x:v>
      </x:c>
      <x:c r="M66" s="26" t="n">
        <x:f>IF(A66="","",Parametreler!$B$5*L66*F66*D66)</x:f>
        <x:v>0</x:v>
      </x:c>
      <x:c r="N66" s="26" t="n">
        <x:f>IF(A66="","",Parametreler!$B$5*L66*F66*E66)</x:f>
        <x:v>0</x:v>
      </x:c>
      <x:c r="O66" s="26" t="n">
        <x:f>IF(A66="","",Parametreler!$B$5*L66*F66)</x:f>
        <x:v>0</x:v>
      </x:c>
      <x:c r="P66" s="26" t="n">
        <x:f>IF(A66="","",G66+M66)</x:f>
        <x:v>0.1</x:v>
      </x:c>
      <x:c r="Q66" s="26" t="n">
        <x:f>IF(A66="","",H66+N66)</x:f>
        <x:v>0.1</x:v>
      </x:c>
      <x:c r="R66" s="26" t="n">
        <x:f>IF(A66="","",I66+O66)</x:f>
        <x:v>-0.1</x:v>
      </x:c>
    </x:row>
    <x:row r="67" ht="20" customHeight="1">
      <x:c r="A67" t="n">
        <x:f>IF(63&lt;=Parametreler!$B$9*Parametreler!$B$10,63,"")</x:f>
        <x:v>63</x:v>
      </x:c>
      <x:c r="B67" t="n">
        <x:f>IF(A67="","",INT((A67-1)/Parametreler!$B$10)+1)</x:f>
        <x:v>16</x:v>
      </x:c>
      <x:c r="C67" t="n">
        <x:f>IF(A67="","",MOD(A67-1,Parametreler!$B$10)+1)</x:f>
        <x:v>3</x:v>
      </x:c>
      <x:c r="D67" s="26" t="n">
        <x:f>IF(A67="","",INDEX('Veri Kumesi'!$B$5:$B$8,C67))</x:f>
        <x:v>1</x:v>
      </x:c>
      <x:c r="E67" s="26" t="n">
        <x:f>IF(A67="","",INDEX('Veri Kumesi'!$C$5:$C$8,C67))</x:f>
        <x:v>-1</x:v>
      </x:c>
      <x:c r="F67" s="26" t="n">
        <x:f>IF(A67="","",INDEX('Veri Kumesi'!$D$5:$D$8,C67))</x:f>
        <x:v>-1</x:v>
      </x:c>
      <x:c r="G67" s="26" t="n">
        <x:f>IF(A67="","",P66)</x:f>
        <x:v>0.1</x:v>
      </x:c>
      <x:c r="H67" s="26" t="n">
        <x:f>IF(A67="","",Q66)</x:f>
        <x:v>0.1</x:v>
      </x:c>
      <x:c r="I67" s="26" t="n">
        <x:f>IF(A67="","",R66)</x:f>
        <x:v>-0.1</x:v>
      </x:c>
      <x:c r="J67" s="26" t="n">
        <x:f>IF(A67="","",G67*D67+H67*E67+I67)</x:f>
        <x:v>-0.1</x:v>
      </x:c>
      <x:c r="K67" s="26" t="n">
        <x:f>IF(A67="","",IF(J67&gt;=Parametreler!$B$11,1,-1))</x:f>
        <x:v>-1</x:v>
      </x:c>
      <x:c r="L67" s="26" t="n">
        <x:f>IF(A67="","",IF(K67=F67,0,1))</x:f>
        <x:v>0</x:v>
      </x:c>
      <x:c r="M67" s="26" t="n">
        <x:f>IF(A67="","",Parametreler!$B$5*L67*F67*D67)</x:f>
        <x:v>0</x:v>
      </x:c>
      <x:c r="N67" s="26" t="n">
        <x:f>IF(A67="","",Parametreler!$B$5*L67*F67*E67)</x:f>
        <x:v>0</x:v>
      </x:c>
      <x:c r="O67" s="26" t="n">
        <x:f>IF(A67="","",Parametreler!$B$5*L67*F67)</x:f>
        <x:v>0</x:v>
      </x:c>
      <x:c r="P67" s="26" t="n">
        <x:f>IF(A67="","",G67+M67)</x:f>
        <x:v>0.1</x:v>
      </x:c>
      <x:c r="Q67" s="26" t="n">
        <x:f>IF(A67="","",H67+N67)</x:f>
        <x:v>0.1</x:v>
      </x:c>
      <x:c r="R67" s="26" t="n">
        <x:f>IF(A67="","",I67+O67)</x:f>
        <x:v>-0.1</x:v>
      </x:c>
    </x:row>
    <x:row r="68" ht="20" customHeight="1">
      <x:c r="A68" t="n">
        <x:f>IF(64&lt;=Parametreler!$B$9*Parametreler!$B$10,64,"")</x:f>
        <x:v>64</x:v>
      </x:c>
      <x:c r="B68" t="n">
        <x:f>IF(A68="","",INT((A68-1)/Parametreler!$B$10)+1)</x:f>
        <x:v>16</x:v>
      </x:c>
      <x:c r="C68" t="n">
        <x:f>IF(A68="","",MOD(A68-1,Parametreler!$B$10)+1)</x:f>
        <x:v>4</x:v>
      </x:c>
      <x:c r="D68" s="26" t="n">
        <x:f>IF(A68="","",INDEX('Veri Kumesi'!$B$5:$B$8,C68))</x:f>
        <x:v>1</x:v>
      </x:c>
      <x:c r="E68" s="26" t="n">
        <x:f>IF(A68="","",INDEX('Veri Kumesi'!$C$5:$C$8,C68))</x:f>
        <x:v>1</x:v>
      </x:c>
      <x:c r="F68" s="26" t="n">
        <x:f>IF(A68="","",INDEX('Veri Kumesi'!$D$5:$D$8,C68))</x:f>
        <x:v>1</x:v>
      </x:c>
      <x:c r="G68" s="26" t="n">
        <x:f>IF(A68="","",P67)</x:f>
        <x:v>0.1</x:v>
      </x:c>
      <x:c r="H68" s="26" t="n">
        <x:f>IF(A68="","",Q67)</x:f>
        <x:v>0.1</x:v>
      </x:c>
      <x:c r="I68" s="26" t="n">
        <x:f>IF(A68="","",R67)</x:f>
        <x:v>-0.1</x:v>
      </x:c>
      <x:c r="J68" s="26" t="n">
        <x:f>IF(A68="","",G68*D68+H68*E68+I68)</x:f>
        <x:v>0.1</x:v>
      </x:c>
      <x:c r="K68" s="26" t="n">
        <x:f>IF(A68="","",IF(J68&gt;=Parametreler!$B$11,1,-1))</x:f>
        <x:v>1</x:v>
      </x:c>
      <x:c r="L68" s="26" t="n">
        <x:f>IF(A68="","",IF(K68=F68,0,1))</x:f>
        <x:v>0</x:v>
      </x:c>
      <x:c r="M68" s="26" t="n">
        <x:f>IF(A68="","",Parametreler!$B$5*L68*F68*D68)</x:f>
        <x:v>0</x:v>
      </x:c>
      <x:c r="N68" s="26" t="n">
        <x:f>IF(A68="","",Parametreler!$B$5*L68*F68*E68)</x:f>
        <x:v>0</x:v>
      </x:c>
      <x:c r="O68" s="26" t="n">
        <x:f>IF(A68="","",Parametreler!$B$5*L68*F68)</x:f>
        <x:v>0</x:v>
      </x:c>
      <x:c r="P68" s="26" t="n">
        <x:f>IF(A68="","",G68+M68)</x:f>
        <x:v>0.1</x:v>
      </x:c>
      <x:c r="Q68" s="26" t="n">
        <x:f>IF(A68="","",H68+N68)</x:f>
        <x:v>0.1</x:v>
      </x:c>
      <x:c r="R68" s="26" t="n">
        <x:f>IF(A68="","",I68+O68)</x:f>
        <x:v>-0.1</x:v>
      </x:c>
    </x:row>
    <x:row r="69" ht="20" customHeight="1">
      <x:c r="A69" t="n">
        <x:f>IF(65&lt;=Parametreler!$B$9*Parametreler!$B$10,65,"")</x:f>
        <x:v>65</x:v>
      </x:c>
      <x:c r="B69" t="n">
        <x:f>IF(A69="","",INT((A69-1)/Parametreler!$B$10)+1)</x:f>
        <x:v>17</x:v>
      </x:c>
      <x:c r="C69" t="n">
        <x:f>IF(A69="","",MOD(A69-1,Parametreler!$B$10)+1)</x:f>
        <x:v>1</x:v>
      </x:c>
      <x:c r="D69" s="26" t="n">
        <x:f>IF(A69="","",INDEX('Veri Kumesi'!$B$5:$B$8,C69))</x:f>
        <x:v>-1</x:v>
      </x:c>
      <x:c r="E69" s="26" t="n">
        <x:f>IF(A69="","",INDEX('Veri Kumesi'!$C$5:$C$8,C69))</x:f>
        <x:v>-1</x:v>
      </x:c>
      <x:c r="F69" s="26" t="n">
        <x:f>IF(A69="","",INDEX('Veri Kumesi'!$D$5:$D$8,C69))</x:f>
        <x:v>-1</x:v>
      </x:c>
      <x:c r="G69" s="26" t="n">
        <x:f>IF(A69="","",P68)</x:f>
        <x:v>0.1</x:v>
      </x:c>
      <x:c r="H69" s="26" t="n">
        <x:f>IF(A69="","",Q68)</x:f>
        <x:v>0.1</x:v>
      </x:c>
      <x:c r="I69" s="26" t="n">
        <x:f>IF(A69="","",R68)</x:f>
        <x:v>-0.1</x:v>
      </x:c>
      <x:c r="J69" s="26" t="n">
        <x:f>IF(A69="","",G69*D69+H69*E69+I69)</x:f>
        <x:v>-0.30000000000000004</x:v>
      </x:c>
      <x:c r="K69" s="26" t="n">
        <x:f>IF(A69="","",IF(J69&gt;=Parametreler!$B$11,1,-1))</x:f>
        <x:v>-1</x:v>
      </x:c>
      <x:c r="L69" s="26" t="n">
        <x:f>IF(A69="","",IF(K69=F69,0,1))</x:f>
        <x:v>0</x:v>
      </x:c>
      <x:c r="M69" s="26" t="n">
        <x:f>IF(A69="","",Parametreler!$B$5*L69*F69*D69)</x:f>
        <x:v>0</x:v>
      </x:c>
      <x:c r="N69" s="26" t="n">
        <x:f>IF(A69="","",Parametreler!$B$5*L69*F69*E69)</x:f>
        <x:v>0</x:v>
      </x:c>
      <x:c r="O69" s="26" t="n">
        <x:f>IF(A69="","",Parametreler!$B$5*L69*F69)</x:f>
        <x:v>0</x:v>
      </x:c>
      <x:c r="P69" s="26" t="n">
        <x:f>IF(A69="","",G69+M69)</x:f>
        <x:v>0.1</x:v>
      </x:c>
      <x:c r="Q69" s="26" t="n">
        <x:f>IF(A69="","",H69+N69)</x:f>
        <x:v>0.1</x:v>
      </x:c>
      <x:c r="R69" s="26" t="n">
        <x:f>IF(A69="","",I69+O69)</x:f>
        <x:v>-0.1</x:v>
      </x:c>
    </x:row>
    <x:row r="70" ht="20" customHeight="1">
      <x:c r="A70" t="n">
        <x:f>IF(66&lt;=Parametreler!$B$9*Parametreler!$B$10,66,"")</x:f>
        <x:v>66</x:v>
      </x:c>
      <x:c r="B70" t="n">
        <x:f>IF(A70="","",INT((A70-1)/Parametreler!$B$10)+1)</x:f>
        <x:v>17</x:v>
      </x:c>
      <x:c r="C70" t="n">
        <x:f>IF(A70="","",MOD(A70-1,Parametreler!$B$10)+1)</x:f>
        <x:v>2</x:v>
      </x:c>
      <x:c r="D70" s="26" t="n">
        <x:f>IF(A70="","",INDEX('Veri Kumesi'!$B$5:$B$8,C70))</x:f>
        <x:v>-1</x:v>
      </x:c>
      <x:c r="E70" s="26" t="n">
        <x:f>IF(A70="","",INDEX('Veri Kumesi'!$C$5:$C$8,C70))</x:f>
        <x:v>1</x:v>
      </x:c>
      <x:c r="F70" s="26" t="n">
        <x:f>IF(A70="","",INDEX('Veri Kumesi'!$D$5:$D$8,C70))</x:f>
        <x:v>-1</x:v>
      </x:c>
      <x:c r="G70" s="26" t="n">
        <x:f>IF(A70="","",P69)</x:f>
        <x:v>0.1</x:v>
      </x:c>
      <x:c r="H70" s="26" t="n">
        <x:f>IF(A70="","",Q69)</x:f>
        <x:v>0.1</x:v>
      </x:c>
      <x:c r="I70" s="26" t="n">
        <x:f>IF(A70="","",R69)</x:f>
        <x:v>-0.1</x:v>
      </x:c>
      <x:c r="J70" s="26" t="n">
        <x:f>IF(A70="","",G70*D70+H70*E70+I70)</x:f>
        <x:v>-0.1</x:v>
      </x:c>
      <x:c r="K70" s="26" t="n">
        <x:f>IF(A70="","",IF(J70&gt;=Parametreler!$B$11,1,-1))</x:f>
        <x:v>-1</x:v>
      </x:c>
      <x:c r="L70" s="26" t="n">
        <x:f>IF(A70="","",IF(K70=F70,0,1))</x:f>
        <x:v>0</x:v>
      </x:c>
      <x:c r="M70" s="26" t="n">
        <x:f>IF(A70="","",Parametreler!$B$5*L70*F70*D70)</x:f>
        <x:v>0</x:v>
      </x:c>
      <x:c r="N70" s="26" t="n">
        <x:f>IF(A70="","",Parametreler!$B$5*L70*F70*E70)</x:f>
        <x:v>0</x:v>
      </x:c>
      <x:c r="O70" s="26" t="n">
        <x:f>IF(A70="","",Parametreler!$B$5*L70*F70)</x:f>
        <x:v>0</x:v>
      </x:c>
      <x:c r="P70" s="26" t="n">
        <x:f>IF(A70="","",G70+M70)</x:f>
        <x:v>0.1</x:v>
      </x:c>
      <x:c r="Q70" s="26" t="n">
        <x:f>IF(A70="","",H70+N70)</x:f>
        <x:v>0.1</x:v>
      </x:c>
      <x:c r="R70" s="26" t="n">
        <x:f>IF(A70="","",I70+O70)</x:f>
        <x:v>-0.1</x:v>
      </x:c>
    </x:row>
    <x:row r="71" ht="20" customHeight="1">
      <x:c r="A71" t="n">
        <x:f>IF(67&lt;=Parametreler!$B$9*Parametreler!$B$10,67,"")</x:f>
        <x:v>67</x:v>
      </x:c>
      <x:c r="B71" t="n">
        <x:f>IF(A71="","",INT((A71-1)/Parametreler!$B$10)+1)</x:f>
        <x:v>17</x:v>
      </x:c>
      <x:c r="C71" t="n">
        <x:f>IF(A71="","",MOD(A71-1,Parametreler!$B$10)+1)</x:f>
        <x:v>3</x:v>
      </x:c>
      <x:c r="D71" s="26" t="n">
        <x:f>IF(A71="","",INDEX('Veri Kumesi'!$B$5:$B$8,C71))</x:f>
        <x:v>1</x:v>
      </x:c>
      <x:c r="E71" s="26" t="n">
        <x:f>IF(A71="","",INDEX('Veri Kumesi'!$C$5:$C$8,C71))</x:f>
        <x:v>-1</x:v>
      </x:c>
      <x:c r="F71" s="26" t="n">
        <x:f>IF(A71="","",INDEX('Veri Kumesi'!$D$5:$D$8,C71))</x:f>
        <x:v>-1</x:v>
      </x:c>
      <x:c r="G71" s="26" t="n">
        <x:f>IF(A71="","",P70)</x:f>
        <x:v>0.1</x:v>
      </x:c>
      <x:c r="H71" s="26" t="n">
        <x:f>IF(A71="","",Q70)</x:f>
        <x:v>0.1</x:v>
      </x:c>
      <x:c r="I71" s="26" t="n">
        <x:f>IF(A71="","",R70)</x:f>
        <x:v>-0.1</x:v>
      </x:c>
      <x:c r="J71" s="26" t="n">
        <x:f>IF(A71="","",G71*D71+H71*E71+I71)</x:f>
        <x:v>-0.1</x:v>
      </x:c>
      <x:c r="K71" s="26" t="n">
        <x:f>IF(A71="","",IF(J71&gt;=Parametreler!$B$11,1,-1))</x:f>
        <x:v>-1</x:v>
      </x:c>
      <x:c r="L71" s="26" t="n">
        <x:f>IF(A71="","",IF(K71=F71,0,1))</x:f>
        <x:v>0</x:v>
      </x:c>
      <x:c r="M71" s="26" t="n">
        <x:f>IF(A71="","",Parametreler!$B$5*L71*F71*D71)</x:f>
        <x:v>0</x:v>
      </x:c>
      <x:c r="N71" s="26" t="n">
        <x:f>IF(A71="","",Parametreler!$B$5*L71*F71*E71)</x:f>
        <x:v>0</x:v>
      </x:c>
      <x:c r="O71" s="26" t="n">
        <x:f>IF(A71="","",Parametreler!$B$5*L71*F71)</x:f>
        <x:v>0</x:v>
      </x:c>
      <x:c r="P71" s="26" t="n">
        <x:f>IF(A71="","",G71+M71)</x:f>
        <x:v>0.1</x:v>
      </x:c>
      <x:c r="Q71" s="26" t="n">
        <x:f>IF(A71="","",H71+N71)</x:f>
        <x:v>0.1</x:v>
      </x:c>
      <x:c r="R71" s="26" t="n">
        <x:f>IF(A71="","",I71+O71)</x:f>
        <x:v>-0.1</x:v>
      </x:c>
    </x:row>
    <x:row r="72" ht="20" customHeight="1">
      <x:c r="A72" t="n">
        <x:f>IF(68&lt;=Parametreler!$B$9*Parametreler!$B$10,68,"")</x:f>
        <x:v>68</x:v>
      </x:c>
      <x:c r="B72" t="n">
        <x:f>IF(A72="","",INT((A72-1)/Parametreler!$B$10)+1)</x:f>
        <x:v>17</x:v>
      </x:c>
      <x:c r="C72" t="n">
        <x:f>IF(A72="","",MOD(A72-1,Parametreler!$B$10)+1)</x:f>
        <x:v>4</x:v>
      </x:c>
      <x:c r="D72" s="26" t="n">
        <x:f>IF(A72="","",INDEX('Veri Kumesi'!$B$5:$B$8,C72))</x:f>
        <x:v>1</x:v>
      </x:c>
      <x:c r="E72" s="26" t="n">
        <x:f>IF(A72="","",INDEX('Veri Kumesi'!$C$5:$C$8,C72))</x:f>
        <x:v>1</x:v>
      </x:c>
      <x:c r="F72" s="26" t="n">
        <x:f>IF(A72="","",INDEX('Veri Kumesi'!$D$5:$D$8,C72))</x:f>
        <x:v>1</x:v>
      </x:c>
      <x:c r="G72" s="26" t="n">
        <x:f>IF(A72="","",P71)</x:f>
        <x:v>0.1</x:v>
      </x:c>
      <x:c r="H72" s="26" t="n">
        <x:f>IF(A72="","",Q71)</x:f>
        <x:v>0.1</x:v>
      </x:c>
      <x:c r="I72" s="26" t="n">
        <x:f>IF(A72="","",R71)</x:f>
        <x:v>-0.1</x:v>
      </x:c>
      <x:c r="J72" s="26" t="n">
        <x:f>IF(A72="","",G72*D72+H72*E72+I72)</x:f>
        <x:v>0.1</x:v>
      </x:c>
      <x:c r="K72" s="26" t="n">
        <x:f>IF(A72="","",IF(J72&gt;=Parametreler!$B$11,1,-1))</x:f>
        <x:v>1</x:v>
      </x:c>
      <x:c r="L72" s="26" t="n">
        <x:f>IF(A72="","",IF(K72=F72,0,1))</x:f>
        <x:v>0</x:v>
      </x:c>
      <x:c r="M72" s="26" t="n">
        <x:f>IF(A72="","",Parametreler!$B$5*L72*F72*D72)</x:f>
        <x:v>0</x:v>
      </x:c>
      <x:c r="N72" s="26" t="n">
        <x:f>IF(A72="","",Parametreler!$B$5*L72*F72*E72)</x:f>
        <x:v>0</x:v>
      </x:c>
      <x:c r="O72" s="26" t="n">
        <x:f>IF(A72="","",Parametreler!$B$5*L72*F72)</x:f>
        <x:v>0</x:v>
      </x:c>
      <x:c r="P72" s="26" t="n">
        <x:f>IF(A72="","",G72+M72)</x:f>
        <x:v>0.1</x:v>
      </x:c>
      <x:c r="Q72" s="26" t="n">
        <x:f>IF(A72="","",H72+N72)</x:f>
        <x:v>0.1</x:v>
      </x:c>
      <x:c r="R72" s="26" t="n">
        <x:f>IF(A72="","",I72+O72)</x:f>
        <x:v>-0.1</x:v>
      </x:c>
    </x:row>
    <x:row r="73" ht="20" customHeight="1">
      <x:c r="A73" t="n">
        <x:f>IF(69&lt;=Parametreler!$B$9*Parametreler!$B$10,69,"")</x:f>
        <x:v>69</x:v>
      </x:c>
      <x:c r="B73" t="n">
        <x:f>IF(A73="","",INT((A73-1)/Parametreler!$B$10)+1)</x:f>
        <x:v>18</x:v>
      </x:c>
      <x:c r="C73" t="n">
        <x:f>IF(A73="","",MOD(A73-1,Parametreler!$B$10)+1)</x:f>
        <x:v>1</x:v>
      </x:c>
      <x:c r="D73" s="26" t="n">
        <x:f>IF(A73="","",INDEX('Veri Kumesi'!$B$5:$B$8,C73))</x:f>
        <x:v>-1</x:v>
      </x:c>
      <x:c r="E73" s="26" t="n">
        <x:f>IF(A73="","",INDEX('Veri Kumesi'!$C$5:$C$8,C73))</x:f>
        <x:v>-1</x:v>
      </x:c>
      <x:c r="F73" s="26" t="n">
        <x:f>IF(A73="","",INDEX('Veri Kumesi'!$D$5:$D$8,C73))</x:f>
        <x:v>-1</x:v>
      </x:c>
      <x:c r="G73" s="26" t="n">
        <x:f>IF(A73="","",P72)</x:f>
        <x:v>0.1</x:v>
      </x:c>
      <x:c r="H73" s="26" t="n">
        <x:f>IF(A73="","",Q72)</x:f>
        <x:v>0.1</x:v>
      </x:c>
      <x:c r="I73" s="26" t="n">
        <x:f>IF(A73="","",R72)</x:f>
        <x:v>-0.1</x:v>
      </x:c>
      <x:c r="J73" s="26" t="n">
        <x:f>IF(A73="","",G73*D73+H73*E73+I73)</x:f>
        <x:v>-0.30000000000000004</x:v>
      </x:c>
      <x:c r="K73" s="26" t="n">
        <x:f>IF(A73="","",IF(J73&gt;=Parametreler!$B$11,1,-1))</x:f>
        <x:v>-1</x:v>
      </x:c>
      <x:c r="L73" s="26" t="n">
        <x:f>IF(A73="","",IF(K73=F73,0,1))</x:f>
        <x:v>0</x:v>
      </x:c>
      <x:c r="M73" s="26" t="n">
        <x:f>IF(A73="","",Parametreler!$B$5*L73*F73*D73)</x:f>
        <x:v>0</x:v>
      </x:c>
      <x:c r="N73" s="26" t="n">
        <x:f>IF(A73="","",Parametreler!$B$5*L73*F73*E73)</x:f>
        <x:v>0</x:v>
      </x:c>
      <x:c r="O73" s="26" t="n">
        <x:f>IF(A73="","",Parametreler!$B$5*L73*F73)</x:f>
        <x:v>0</x:v>
      </x:c>
      <x:c r="P73" s="26" t="n">
        <x:f>IF(A73="","",G73+M73)</x:f>
        <x:v>0.1</x:v>
      </x:c>
      <x:c r="Q73" s="26" t="n">
        <x:f>IF(A73="","",H73+N73)</x:f>
        <x:v>0.1</x:v>
      </x:c>
      <x:c r="R73" s="26" t="n">
        <x:f>IF(A73="","",I73+O73)</x:f>
        <x:v>-0.1</x:v>
      </x:c>
    </x:row>
    <x:row r="74" ht="20" customHeight="1">
      <x:c r="A74" t="n">
        <x:f>IF(70&lt;=Parametreler!$B$9*Parametreler!$B$10,70,"")</x:f>
        <x:v>70</x:v>
      </x:c>
      <x:c r="B74" t="n">
        <x:f>IF(A74="","",INT((A74-1)/Parametreler!$B$10)+1)</x:f>
        <x:v>18</x:v>
      </x:c>
      <x:c r="C74" t="n">
        <x:f>IF(A74="","",MOD(A74-1,Parametreler!$B$10)+1)</x:f>
        <x:v>2</x:v>
      </x:c>
      <x:c r="D74" s="26" t="n">
        <x:f>IF(A74="","",INDEX('Veri Kumesi'!$B$5:$B$8,C74))</x:f>
        <x:v>-1</x:v>
      </x:c>
      <x:c r="E74" s="26" t="n">
        <x:f>IF(A74="","",INDEX('Veri Kumesi'!$C$5:$C$8,C74))</x:f>
        <x:v>1</x:v>
      </x:c>
      <x:c r="F74" s="26" t="n">
        <x:f>IF(A74="","",INDEX('Veri Kumesi'!$D$5:$D$8,C74))</x:f>
        <x:v>-1</x:v>
      </x:c>
      <x:c r="G74" s="26" t="n">
        <x:f>IF(A74="","",P73)</x:f>
        <x:v>0.1</x:v>
      </x:c>
      <x:c r="H74" s="26" t="n">
        <x:f>IF(A74="","",Q73)</x:f>
        <x:v>0.1</x:v>
      </x:c>
      <x:c r="I74" s="26" t="n">
        <x:f>IF(A74="","",R73)</x:f>
        <x:v>-0.1</x:v>
      </x:c>
      <x:c r="J74" s="26" t="n">
        <x:f>IF(A74="","",G74*D74+H74*E74+I74)</x:f>
        <x:v>-0.1</x:v>
      </x:c>
      <x:c r="K74" s="26" t="n">
        <x:f>IF(A74="","",IF(J74&gt;=Parametreler!$B$11,1,-1))</x:f>
        <x:v>-1</x:v>
      </x:c>
      <x:c r="L74" s="26" t="n">
        <x:f>IF(A74="","",IF(K74=F74,0,1))</x:f>
        <x:v>0</x:v>
      </x:c>
      <x:c r="M74" s="26" t="n">
        <x:f>IF(A74="","",Parametreler!$B$5*L74*F74*D74)</x:f>
        <x:v>0</x:v>
      </x:c>
      <x:c r="N74" s="26" t="n">
        <x:f>IF(A74="","",Parametreler!$B$5*L74*F74*E74)</x:f>
        <x:v>0</x:v>
      </x:c>
      <x:c r="O74" s="26" t="n">
        <x:f>IF(A74="","",Parametreler!$B$5*L74*F74)</x:f>
        <x:v>0</x:v>
      </x:c>
      <x:c r="P74" s="26" t="n">
        <x:f>IF(A74="","",G74+M74)</x:f>
        <x:v>0.1</x:v>
      </x:c>
      <x:c r="Q74" s="26" t="n">
        <x:f>IF(A74="","",H74+N74)</x:f>
        <x:v>0.1</x:v>
      </x:c>
      <x:c r="R74" s="26" t="n">
        <x:f>IF(A74="","",I74+O74)</x:f>
        <x:v>-0.1</x:v>
      </x:c>
    </x:row>
    <x:row r="75" ht="20" customHeight="1">
      <x:c r="A75" t="n">
        <x:f>IF(71&lt;=Parametreler!$B$9*Parametreler!$B$10,71,"")</x:f>
        <x:v>71</x:v>
      </x:c>
      <x:c r="B75" t="n">
        <x:f>IF(A75="","",INT((A75-1)/Parametreler!$B$10)+1)</x:f>
        <x:v>18</x:v>
      </x:c>
      <x:c r="C75" t="n">
        <x:f>IF(A75="","",MOD(A75-1,Parametreler!$B$10)+1)</x:f>
        <x:v>3</x:v>
      </x:c>
      <x:c r="D75" s="26" t="n">
        <x:f>IF(A75="","",INDEX('Veri Kumesi'!$B$5:$B$8,C75))</x:f>
        <x:v>1</x:v>
      </x:c>
      <x:c r="E75" s="26" t="n">
        <x:f>IF(A75="","",INDEX('Veri Kumesi'!$C$5:$C$8,C75))</x:f>
        <x:v>-1</x:v>
      </x:c>
      <x:c r="F75" s="26" t="n">
        <x:f>IF(A75="","",INDEX('Veri Kumesi'!$D$5:$D$8,C75))</x:f>
        <x:v>-1</x:v>
      </x:c>
      <x:c r="G75" s="26" t="n">
        <x:f>IF(A75="","",P74)</x:f>
        <x:v>0.1</x:v>
      </x:c>
      <x:c r="H75" s="26" t="n">
        <x:f>IF(A75="","",Q74)</x:f>
        <x:v>0.1</x:v>
      </x:c>
      <x:c r="I75" s="26" t="n">
        <x:f>IF(A75="","",R74)</x:f>
        <x:v>-0.1</x:v>
      </x:c>
      <x:c r="J75" s="26" t="n">
        <x:f>IF(A75="","",G75*D75+H75*E75+I75)</x:f>
        <x:v>-0.1</x:v>
      </x:c>
      <x:c r="K75" s="26" t="n">
        <x:f>IF(A75="","",IF(J75&gt;=Parametreler!$B$11,1,-1))</x:f>
        <x:v>-1</x:v>
      </x:c>
      <x:c r="L75" s="26" t="n">
        <x:f>IF(A75="","",IF(K75=F75,0,1))</x:f>
        <x:v>0</x:v>
      </x:c>
      <x:c r="M75" s="26" t="n">
        <x:f>IF(A75="","",Parametreler!$B$5*L75*F75*D75)</x:f>
        <x:v>0</x:v>
      </x:c>
      <x:c r="N75" s="26" t="n">
        <x:f>IF(A75="","",Parametreler!$B$5*L75*F75*E75)</x:f>
        <x:v>0</x:v>
      </x:c>
      <x:c r="O75" s="26" t="n">
        <x:f>IF(A75="","",Parametreler!$B$5*L75*F75)</x:f>
        <x:v>0</x:v>
      </x:c>
      <x:c r="P75" s="26" t="n">
        <x:f>IF(A75="","",G75+M75)</x:f>
        <x:v>0.1</x:v>
      </x:c>
      <x:c r="Q75" s="26" t="n">
        <x:f>IF(A75="","",H75+N75)</x:f>
        <x:v>0.1</x:v>
      </x:c>
      <x:c r="R75" s="26" t="n">
        <x:f>IF(A75="","",I75+O75)</x:f>
        <x:v>-0.1</x:v>
      </x:c>
    </x:row>
    <x:row r="76" ht="20" customHeight="1">
      <x:c r="A76" t="n">
        <x:f>IF(72&lt;=Parametreler!$B$9*Parametreler!$B$10,72,"")</x:f>
        <x:v>72</x:v>
      </x:c>
      <x:c r="B76" t="n">
        <x:f>IF(A76="","",INT((A76-1)/Parametreler!$B$10)+1)</x:f>
        <x:v>18</x:v>
      </x:c>
      <x:c r="C76" t="n">
        <x:f>IF(A76="","",MOD(A76-1,Parametreler!$B$10)+1)</x:f>
        <x:v>4</x:v>
      </x:c>
      <x:c r="D76" s="26" t="n">
        <x:f>IF(A76="","",INDEX('Veri Kumesi'!$B$5:$B$8,C76))</x:f>
        <x:v>1</x:v>
      </x:c>
      <x:c r="E76" s="26" t="n">
        <x:f>IF(A76="","",INDEX('Veri Kumesi'!$C$5:$C$8,C76))</x:f>
        <x:v>1</x:v>
      </x:c>
      <x:c r="F76" s="26" t="n">
        <x:f>IF(A76="","",INDEX('Veri Kumesi'!$D$5:$D$8,C76))</x:f>
        <x:v>1</x:v>
      </x:c>
      <x:c r="G76" s="26" t="n">
        <x:f>IF(A76="","",P75)</x:f>
        <x:v>0.1</x:v>
      </x:c>
      <x:c r="H76" s="26" t="n">
        <x:f>IF(A76="","",Q75)</x:f>
        <x:v>0.1</x:v>
      </x:c>
      <x:c r="I76" s="26" t="n">
        <x:f>IF(A76="","",R75)</x:f>
        <x:v>-0.1</x:v>
      </x:c>
      <x:c r="J76" s="26" t="n">
        <x:f>IF(A76="","",G76*D76+H76*E76+I76)</x:f>
        <x:v>0.1</x:v>
      </x:c>
      <x:c r="K76" s="26" t="n">
        <x:f>IF(A76="","",IF(J76&gt;=Parametreler!$B$11,1,-1))</x:f>
        <x:v>1</x:v>
      </x:c>
      <x:c r="L76" s="26" t="n">
        <x:f>IF(A76="","",IF(K76=F76,0,1))</x:f>
        <x:v>0</x:v>
      </x:c>
      <x:c r="M76" s="26" t="n">
        <x:f>IF(A76="","",Parametreler!$B$5*L76*F76*D76)</x:f>
        <x:v>0</x:v>
      </x:c>
      <x:c r="N76" s="26" t="n">
        <x:f>IF(A76="","",Parametreler!$B$5*L76*F76*E76)</x:f>
        <x:v>0</x:v>
      </x:c>
      <x:c r="O76" s="26" t="n">
        <x:f>IF(A76="","",Parametreler!$B$5*L76*F76)</x:f>
        <x:v>0</x:v>
      </x:c>
      <x:c r="P76" s="26" t="n">
        <x:f>IF(A76="","",G76+M76)</x:f>
        <x:v>0.1</x:v>
      </x:c>
      <x:c r="Q76" s="26" t="n">
        <x:f>IF(A76="","",H76+N76)</x:f>
        <x:v>0.1</x:v>
      </x:c>
      <x:c r="R76" s="26" t="n">
        <x:f>IF(A76="","",I76+O76)</x:f>
        <x:v>-0.1</x:v>
      </x:c>
    </x:row>
    <x:row r="77" ht="20" customHeight="1">
      <x:c r="A77" t="n">
        <x:f>IF(73&lt;=Parametreler!$B$9*Parametreler!$B$10,73,"")</x:f>
        <x:v>73</x:v>
      </x:c>
      <x:c r="B77" t="n">
        <x:f>IF(A77="","",INT((A77-1)/Parametreler!$B$10)+1)</x:f>
        <x:v>19</x:v>
      </x:c>
      <x:c r="C77" t="n">
        <x:f>IF(A77="","",MOD(A77-1,Parametreler!$B$10)+1)</x:f>
        <x:v>1</x:v>
      </x:c>
      <x:c r="D77" s="26" t="n">
        <x:f>IF(A77="","",INDEX('Veri Kumesi'!$B$5:$B$8,C77))</x:f>
        <x:v>-1</x:v>
      </x:c>
      <x:c r="E77" s="26" t="n">
        <x:f>IF(A77="","",INDEX('Veri Kumesi'!$C$5:$C$8,C77))</x:f>
        <x:v>-1</x:v>
      </x:c>
      <x:c r="F77" s="26" t="n">
        <x:f>IF(A77="","",INDEX('Veri Kumesi'!$D$5:$D$8,C77))</x:f>
        <x:v>-1</x:v>
      </x:c>
      <x:c r="G77" s="26" t="n">
        <x:f>IF(A77="","",P76)</x:f>
        <x:v>0.1</x:v>
      </x:c>
      <x:c r="H77" s="26" t="n">
        <x:f>IF(A77="","",Q76)</x:f>
        <x:v>0.1</x:v>
      </x:c>
      <x:c r="I77" s="26" t="n">
        <x:f>IF(A77="","",R76)</x:f>
        <x:v>-0.1</x:v>
      </x:c>
      <x:c r="J77" s="26" t="n">
        <x:f>IF(A77="","",G77*D77+H77*E77+I77)</x:f>
        <x:v>-0.30000000000000004</x:v>
      </x:c>
      <x:c r="K77" s="26" t="n">
        <x:f>IF(A77="","",IF(J77&gt;=Parametreler!$B$11,1,-1))</x:f>
        <x:v>-1</x:v>
      </x:c>
      <x:c r="L77" s="26" t="n">
        <x:f>IF(A77="","",IF(K77=F77,0,1))</x:f>
        <x:v>0</x:v>
      </x:c>
      <x:c r="M77" s="26" t="n">
        <x:f>IF(A77="","",Parametreler!$B$5*L77*F77*D77)</x:f>
        <x:v>0</x:v>
      </x:c>
      <x:c r="N77" s="26" t="n">
        <x:f>IF(A77="","",Parametreler!$B$5*L77*F77*E77)</x:f>
        <x:v>0</x:v>
      </x:c>
      <x:c r="O77" s="26" t="n">
        <x:f>IF(A77="","",Parametreler!$B$5*L77*F77)</x:f>
        <x:v>0</x:v>
      </x:c>
      <x:c r="P77" s="26" t="n">
        <x:f>IF(A77="","",G77+M77)</x:f>
        <x:v>0.1</x:v>
      </x:c>
      <x:c r="Q77" s="26" t="n">
        <x:f>IF(A77="","",H77+N77)</x:f>
        <x:v>0.1</x:v>
      </x:c>
      <x:c r="R77" s="26" t="n">
        <x:f>IF(A77="","",I77+O77)</x:f>
        <x:v>-0.1</x:v>
      </x:c>
    </x:row>
    <x:row r="78" ht="20" customHeight="1">
      <x:c r="A78" t="n">
        <x:f>IF(74&lt;=Parametreler!$B$9*Parametreler!$B$10,74,"")</x:f>
        <x:v>74</x:v>
      </x:c>
      <x:c r="B78" t="n">
        <x:f>IF(A78="","",INT((A78-1)/Parametreler!$B$10)+1)</x:f>
        <x:v>19</x:v>
      </x:c>
      <x:c r="C78" t="n">
        <x:f>IF(A78="","",MOD(A78-1,Parametreler!$B$10)+1)</x:f>
        <x:v>2</x:v>
      </x:c>
      <x:c r="D78" s="26" t="n">
        <x:f>IF(A78="","",INDEX('Veri Kumesi'!$B$5:$B$8,C78))</x:f>
        <x:v>-1</x:v>
      </x:c>
      <x:c r="E78" s="26" t="n">
        <x:f>IF(A78="","",INDEX('Veri Kumesi'!$C$5:$C$8,C78))</x:f>
        <x:v>1</x:v>
      </x:c>
      <x:c r="F78" s="26" t="n">
        <x:f>IF(A78="","",INDEX('Veri Kumesi'!$D$5:$D$8,C78))</x:f>
        <x:v>-1</x:v>
      </x:c>
      <x:c r="G78" s="26" t="n">
        <x:f>IF(A78="","",P77)</x:f>
        <x:v>0.1</x:v>
      </x:c>
      <x:c r="H78" s="26" t="n">
        <x:f>IF(A78="","",Q77)</x:f>
        <x:v>0.1</x:v>
      </x:c>
      <x:c r="I78" s="26" t="n">
        <x:f>IF(A78="","",R77)</x:f>
        <x:v>-0.1</x:v>
      </x:c>
      <x:c r="J78" s="26" t="n">
        <x:f>IF(A78="","",G78*D78+H78*E78+I78)</x:f>
        <x:v>-0.1</x:v>
      </x:c>
      <x:c r="K78" s="26" t="n">
        <x:f>IF(A78="","",IF(J78&gt;=Parametreler!$B$11,1,-1))</x:f>
        <x:v>-1</x:v>
      </x:c>
      <x:c r="L78" s="26" t="n">
        <x:f>IF(A78="","",IF(K78=F78,0,1))</x:f>
        <x:v>0</x:v>
      </x:c>
      <x:c r="M78" s="26" t="n">
        <x:f>IF(A78="","",Parametreler!$B$5*L78*F78*D78)</x:f>
        <x:v>0</x:v>
      </x:c>
      <x:c r="N78" s="26" t="n">
        <x:f>IF(A78="","",Parametreler!$B$5*L78*F78*E78)</x:f>
        <x:v>0</x:v>
      </x:c>
      <x:c r="O78" s="26" t="n">
        <x:f>IF(A78="","",Parametreler!$B$5*L78*F78)</x:f>
        <x:v>0</x:v>
      </x:c>
      <x:c r="P78" s="26" t="n">
        <x:f>IF(A78="","",G78+M78)</x:f>
        <x:v>0.1</x:v>
      </x:c>
      <x:c r="Q78" s="26" t="n">
        <x:f>IF(A78="","",H78+N78)</x:f>
        <x:v>0.1</x:v>
      </x:c>
      <x:c r="R78" s="26" t="n">
        <x:f>IF(A78="","",I78+O78)</x:f>
        <x:v>-0.1</x:v>
      </x:c>
    </x:row>
    <x:row r="79" ht="20" customHeight="1">
      <x:c r="A79" t="n">
        <x:f>IF(75&lt;=Parametreler!$B$9*Parametreler!$B$10,75,"")</x:f>
        <x:v>75</x:v>
      </x:c>
      <x:c r="B79" t="n">
        <x:f>IF(A79="","",INT((A79-1)/Parametreler!$B$10)+1)</x:f>
        <x:v>19</x:v>
      </x:c>
      <x:c r="C79" t="n">
        <x:f>IF(A79="","",MOD(A79-1,Parametreler!$B$10)+1)</x:f>
        <x:v>3</x:v>
      </x:c>
      <x:c r="D79" s="26" t="n">
        <x:f>IF(A79="","",INDEX('Veri Kumesi'!$B$5:$B$8,C79))</x:f>
        <x:v>1</x:v>
      </x:c>
      <x:c r="E79" s="26" t="n">
        <x:f>IF(A79="","",INDEX('Veri Kumesi'!$C$5:$C$8,C79))</x:f>
        <x:v>-1</x:v>
      </x:c>
      <x:c r="F79" s="26" t="n">
        <x:f>IF(A79="","",INDEX('Veri Kumesi'!$D$5:$D$8,C79))</x:f>
        <x:v>-1</x:v>
      </x:c>
      <x:c r="G79" s="26" t="n">
        <x:f>IF(A79="","",P78)</x:f>
        <x:v>0.1</x:v>
      </x:c>
      <x:c r="H79" s="26" t="n">
        <x:f>IF(A79="","",Q78)</x:f>
        <x:v>0.1</x:v>
      </x:c>
      <x:c r="I79" s="26" t="n">
        <x:f>IF(A79="","",R78)</x:f>
        <x:v>-0.1</x:v>
      </x:c>
      <x:c r="J79" s="26" t="n">
        <x:f>IF(A79="","",G79*D79+H79*E79+I79)</x:f>
        <x:v>-0.1</x:v>
      </x:c>
      <x:c r="K79" s="26" t="n">
        <x:f>IF(A79="","",IF(J79&gt;=Parametreler!$B$11,1,-1))</x:f>
        <x:v>-1</x:v>
      </x:c>
      <x:c r="L79" s="26" t="n">
        <x:f>IF(A79="","",IF(K79=F79,0,1))</x:f>
        <x:v>0</x:v>
      </x:c>
      <x:c r="M79" s="26" t="n">
        <x:f>IF(A79="","",Parametreler!$B$5*L79*F79*D79)</x:f>
        <x:v>0</x:v>
      </x:c>
      <x:c r="N79" s="26" t="n">
        <x:f>IF(A79="","",Parametreler!$B$5*L79*F79*E79)</x:f>
        <x:v>0</x:v>
      </x:c>
      <x:c r="O79" s="26" t="n">
        <x:f>IF(A79="","",Parametreler!$B$5*L79*F79)</x:f>
        <x:v>0</x:v>
      </x:c>
      <x:c r="P79" s="26" t="n">
        <x:f>IF(A79="","",G79+M79)</x:f>
        <x:v>0.1</x:v>
      </x:c>
      <x:c r="Q79" s="26" t="n">
        <x:f>IF(A79="","",H79+N79)</x:f>
        <x:v>0.1</x:v>
      </x:c>
      <x:c r="R79" s="26" t="n">
        <x:f>IF(A79="","",I79+O79)</x:f>
        <x:v>-0.1</x:v>
      </x:c>
    </x:row>
    <x:row r="80" ht="20" customHeight="1">
      <x:c r="A80" t="n">
        <x:f>IF(76&lt;=Parametreler!$B$9*Parametreler!$B$10,76,"")</x:f>
        <x:v>76</x:v>
      </x:c>
      <x:c r="B80" t="n">
        <x:f>IF(A80="","",INT((A80-1)/Parametreler!$B$10)+1)</x:f>
        <x:v>19</x:v>
      </x:c>
      <x:c r="C80" t="n">
        <x:f>IF(A80="","",MOD(A80-1,Parametreler!$B$10)+1)</x:f>
        <x:v>4</x:v>
      </x:c>
      <x:c r="D80" s="26" t="n">
        <x:f>IF(A80="","",INDEX('Veri Kumesi'!$B$5:$B$8,C80))</x:f>
        <x:v>1</x:v>
      </x:c>
      <x:c r="E80" s="26" t="n">
        <x:f>IF(A80="","",INDEX('Veri Kumesi'!$C$5:$C$8,C80))</x:f>
        <x:v>1</x:v>
      </x:c>
      <x:c r="F80" s="26" t="n">
        <x:f>IF(A80="","",INDEX('Veri Kumesi'!$D$5:$D$8,C80))</x:f>
        <x:v>1</x:v>
      </x:c>
      <x:c r="G80" s="26" t="n">
        <x:f>IF(A80="","",P79)</x:f>
        <x:v>0.1</x:v>
      </x:c>
      <x:c r="H80" s="26" t="n">
        <x:f>IF(A80="","",Q79)</x:f>
        <x:v>0.1</x:v>
      </x:c>
      <x:c r="I80" s="26" t="n">
        <x:f>IF(A80="","",R79)</x:f>
        <x:v>-0.1</x:v>
      </x:c>
      <x:c r="J80" s="26" t="n">
        <x:f>IF(A80="","",G80*D80+H80*E80+I80)</x:f>
        <x:v>0.1</x:v>
      </x:c>
      <x:c r="K80" s="26" t="n">
        <x:f>IF(A80="","",IF(J80&gt;=Parametreler!$B$11,1,-1))</x:f>
        <x:v>1</x:v>
      </x:c>
      <x:c r="L80" s="26" t="n">
        <x:f>IF(A80="","",IF(K80=F80,0,1))</x:f>
        <x:v>0</x:v>
      </x:c>
      <x:c r="M80" s="26" t="n">
        <x:f>IF(A80="","",Parametreler!$B$5*L80*F80*D80)</x:f>
        <x:v>0</x:v>
      </x:c>
      <x:c r="N80" s="26" t="n">
        <x:f>IF(A80="","",Parametreler!$B$5*L80*F80*E80)</x:f>
        <x:v>0</x:v>
      </x:c>
      <x:c r="O80" s="26" t="n">
        <x:f>IF(A80="","",Parametreler!$B$5*L80*F80)</x:f>
        <x:v>0</x:v>
      </x:c>
      <x:c r="P80" s="26" t="n">
        <x:f>IF(A80="","",G80+M80)</x:f>
        <x:v>0.1</x:v>
      </x:c>
      <x:c r="Q80" s="26" t="n">
        <x:f>IF(A80="","",H80+N80)</x:f>
        <x:v>0.1</x:v>
      </x:c>
      <x:c r="R80" s="26" t="n">
        <x:f>IF(A80="","",I80+O80)</x:f>
        <x:v>-0.1</x:v>
      </x:c>
    </x:row>
    <x:row r="81" ht="20" customHeight="1">
      <x:c r="A81" t="n">
        <x:f>IF(77&lt;=Parametreler!$B$9*Parametreler!$B$10,77,"")</x:f>
        <x:v>77</x:v>
      </x:c>
      <x:c r="B81" t="n">
        <x:f>IF(A81="","",INT((A81-1)/Parametreler!$B$10)+1)</x:f>
        <x:v>20</x:v>
      </x:c>
      <x:c r="C81" t="n">
        <x:f>IF(A81="","",MOD(A81-1,Parametreler!$B$10)+1)</x:f>
        <x:v>1</x:v>
      </x:c>
      <x:c r="D81" s="26" t="n">
        <x:f>IF(A81="","",INDEX('Veri Kumesi'!$B$5:$B$8,C81))</x:f>
        <x:v>-1</x:v>
      </x:c>
      <x:c r="E81" s="26" t="n">
        <x:f>IF(A81="","",INDEX('Veri Kumesi'!$C$5:$C$8,C81))</x:f>
        <x:v>-1</x:v>
      </x:c>
      <x:c r="F81" s="26" t="n">
        <x:f>IF(A81="","",INDEX('Veri Kumesi'!$D$5:$D$8,C81))</x:f>
        <x:v>-1</x:v>
      </x:c>
      <x:c r="G81" s="26" t="n">
        <x:f>IF(A81="","",P80)</x:f>
        <x:v>0.1</x:v>
      </x:c>
      <x:c r="H81" s="26" t="n">
        <x:f>IF(A81="","",Q80)</x:f>
        <x:v>0.1</x:v>
      </x:c>
      <x:c r="I81" s="26" t="n">
        <x:f>IF(A81="","",R80)</x:f>
        <x:v>-0.1</x:v>
      </x:c>
      <x:c r="J81" s="26" t="n">
        <x:f>IF(A81="","",G81*D81+H81*E81+I81)</x:f>
        <x:v>-0.30000000000000004</x:v>
      </x:c>
      <x:c r="K81" s="26" t="n">
        <x:f>IF(A81="","",IF(J81&gt;=Parametreler!$B$11,1,-1))</x:f>
        <x:v>-1</x:v>
      </x:c>
      <x:c r="L81" s="26" t="n">
        <x:f>IF(A81="","",IF(K81=F81,0,1))</x:f>
        <x:v>0</x:v>
      </x:c>
      <x:c r="M81" s="26" t="n">
        <x:f>IF(A81="","",Parametreler!$B$5*L81*F81*D81)</x:f>
        <x:v>0</x:v>
      </x:c>
      <x:c r="N81" s="26" t="n">
        <x:f>IF(A81="","",Parametreler!$B$5*L81*F81*E81)</x:f>
        <x:v>0</x:v>
      </x:c>
      <x:c r="O81" s="26" t="n">
        <x:f>IF(A81="","",Parametreler!$B$5*L81*F81)</x:f>
        <x:v>0</x:v>
      </x:c>
      <x:c r="P81" s="26" t="n">
        <x:f>IF(A81="","",G81+M81)</x:f>
        <x:v>0.1</x:v>
      </x:c>
      <x:c r="Q81" s="26" t="n">
        <x:f>IF(A81="","",H81+N81)</x:f>
        <x:v>0.1</x:v>
      </x:c>
      <x:c r="R81" s="26" t="n">
        <x:f>IF(A81="","",I81+O81)</x:f>
        <x:v>-0.1</x:v>
      </x:c>
    </x:row>
    <x:row r="82" ht="20" customHeight="1">
      <x:c r="A82" t="n">
        <x:f>IF(78&lt;=Parametreler!$B$9*Parametreler!$B$10,78,"")</x:f>
        <x:v>78</x:v>
      </x:c>
      <x:c r="B82" t="n">
        <x:f>IF(A82="","",INT((A82-1)/Parametreler!$B$10)+1)</x:f>
        <x:v>20</x:v>
      </x:c>
      <x:c r="C82" t="n">
        <x:f>IF(A82="","",MOD(A82-1,Parametreler!$B$10)+1)</x:f>
        <x:v>2</x:v>
      </x:c>
      <x:c r="D82" s="26" t="n">
        <x:f>IF(A82="","",INDEX('Veri Kumesi'!$B$5:$B$8,C82))</x:f>
        <x:v>-1</x:v>
      </x:c>
      <x:c r="E82" s="26" t="n">
        <x:f>IF(A82="","",INDEX('Veri Kumesi'!$C$5:$C$8,C82))</x:f>
        <x:v>1</x:v>
      </x:c>
      <x:c r="F82" s="26" t="n">
        <x:f>IF(A82="","",INDEX('Veri Kumesi'!$D$5:$D$8,C82))</x:f>
        <x:v>-1</x:v>
      </x:c>
      <x:c r="G82" s="26" t="n">
        <x:f>IF(A82="","",P81)</x:f>
        <x:v>0.1</x:v>
      </x:c>
      <x:c r="H82" s="26" t="n">
        <x:f>IF(A82="","",Q81)</x:f>
        <x:v>0.1</x:v>
      </x:c>
      <x:c r="I82" s="26" t="n">
        <x:f>IF(A82="","",R81)</x:f>
        <x:v>-0.1</x:v>
      </x:c>
      <x:c r="J82" s="26" t="n">
        <x:f>IF(A82="","",G82*D82+H82*E82+I82)</x:f>
        <x:v>-0.1</x:v>
      </x:c>
      <x:c r="K82" s="26" t="n">
        <x:f>IF(A82="","",IF(J82&gt;=Parametreler!$B$11,1,-1))</x:f>
        <x:v>-1</x:v>
      </x:c>
      <x:c r="L82" s="26" t="n">
        <x:f>IF(A82="","",IF(K82=F82,0,1))</x:f>
        <x:v>0</x:v>
      </x:c>
      <x:c r="M82" s="26" t="n">
        <x:f>IF(A82="","",Parametreler!$B$5*L82*F82*D82)</x:f>
        <x:v>0</x:v>
      </x:c>
      <x:c r="N82" s="26" t="n">
        <x:f>IF(A82="","",Parametreler!$B$5*L82*F82*E82)</x:f>
        <x:v>0</x:v>
      </x:c>
      <x:c r="O82" s="26" t="n">
        <x:f>IF(A82="","",Parametreler!$B$5*L82*F82)</x:f>
        <x:v>0</x:v>
      </x:c>
      <x:c r="P82" s="26" t="n">
        <x:f>IF(A82="","",G82+M82)</x:f>
        <x:v>0.1</x:v>
      </x:c>
      <x:c r="Q82" s="26" t="n">
        <x:f>IF(A82="","",H82+N82)</x:f>
        <x:v>0.1</x:v>
      </x:c>
      <x:c r="R82" s="26" t="n">
        <x:f>IF(A82="","",I82+O82)</x:f>
        <x:v>-0.1</x:v>
      </x:c>
    </x:row>
    <x:row r="83" ht="20" customHeight="1">
      <x:c r="A83" t="n">
        <x:f>IF(79&lt;=Parametreler!$B$9*Parametreler!$B$10,79,"")</x:f>
        <x:v>79</x:v>
      </x:c>
      <x:c r="B83" t="n">
        <x:f>IF(A83="","",INT((A83-1)/Parametreler!$B$10)+1)</x:f>
        <x:v>20</x:v>
      </x:c>
      <x:c r="C83" t="n">
        <x:f>IF(A83="","",MOD(A83-1,Parametreler!$B$10)+1)</x:f>
        <x:v>3</x:v>
      </x:c>
      <x:c r="D83" s="26" t="n">
        <x:f>IF(A83="","",INDEX('Veri Kumesi'!$B$5:$B$8,C83))</x:f>
        <x:v>1</x:v>
      </x:c>
      <x:c r="E83" s="26" t="n">
        <x:f>IF(A83="","",INDEX('Veri Kumesi'!$C$5:$C$8,C83))</x:f>
        <x:v>-1</x:v>
      </x:c>
      <x:c r="F83" s="26" t="n">
        <x:f>IF(A83="","",INDEX('Veri Kumesi'!$D$5:$D$8,C83))</x:f>
        <x:v>-1</x:v>
      </x:c>
      <x:c r="G83" s="26" t="n">
        <x:f>IF(A83="","",P82)</x:f>
        <x:v>0.1</x:v>
      </x:c>
      <x:c r="H83" s="26" t="n">
        <x:f>IF(A83="","",Q82)</x:f>
        <x:v>0.1</x:v>
      </x:c>
      <x:c r="I83" s="26" t="n">
        <x:f>IF(A83="","",R82)</x:f>
        <x:v>-0.1</x:v>
      </x:c>
      <x:c r="J83" s="26" t="n">
        <x:f>IF(A83="","",G83*D83+H83*E83+I83)</x:f>
        <x:v>-0.1</x:v>
      </x:c>
      <x:c r="K83" s="26" t="n">
        <x:f>IF(A83="","",IF(J83&gt;=Parametreler!$B$11,1,-1))</x:f>
        <x:v>-1</x:v>
      </x:c>
      <x:c r="L83" s="26" t="n">
        <x:f>IF(A83="","",IF(K83=F83,0,1))</x:f>
        <x:v>0</x:v>
      </x:c>
      <x:c r="M83" s="26" t="n">
        <x:f>IF(A83="","",Parametreler!$B$5*L83*F83*D83)</x:f>
        <x:v>0</x:v>
      </x:c>
      <x:c r="N83" s="26" t="n">
        <x:f>IF(A83="","",Parametreler!$B$5*L83*F83*E83)</x:f>
        <x:v>0</x:v>
      </x:c>
      <x:c r="O83" s="26" t="n">
        <x:f>IF(A83="","",Parametreler!$B$5*L83*F83)</x:f>
        <x:v>0</x:v>
      </x:c>
      <x:c r="P83" s="26" t="n">
        <x:f>IF(A83="","",G83+M83)</x:f>
        <x:v>0.1</x:v>
      </x:c>
      <x:c r="Q83" s="26" t="n">
        <x:f>IF(A83="","",H83+N83)</x:f>
        <x:v>0.1</x:v>
      </x:c>
      <x:c r="R83" s="26" t="n">
        <x:f>IF(A83="","",I83+O83)</x:f>
        <x:v>-0.1</x:v>
      </x:c>
    </x:row>
    <x:row r="84" ht="20" customHeight="1">
      <x:c r="A84" t="n">
        <x:f>IF(80&lt;=Parametreler!$B$9*Parametreler!$B$10,80,"")</x:f>
        <x:v>80</x:v>
      </x:c>
      <x:c r="B84" t="n">
        <x:f>IF(A84="","",INT((A84-1)/Parametreler!$B$10)+1)</x:f>
        <x:v>20</x:v>
      </x:c>
      <x:c r="C84" t="n">
        <x:f>IF(A84="","",MOD(A84-1,Parametreler!$B$10)+1)</x:f>
        <x:v>4</x:v>
      </x:c>
      <x:c r="D84" s="26" t="n">
        <x:f>IF(A84="","",INDEX('Veri Kumesi'!$B$5:$B$8,C84))</x:f>
        <x:v>1</x:v>
      </x:c>
      <x:c r="E84" s="26" t="n">
        <x:f>IF(A84="","",INDEX('Veri Kumesi'!$C$5:$C$8,C84))</x:f>
        <x:v>1</x:v>
      </x:c>
      <x:c r="F84" s="26" t="n">
        <x:f>IF(A84="","",INDEX('Veri Kumesi'!$D$5:$D$8,C84))</x:f>
        <x:v>1</x:v>
      </x:c>
      <x:c r="G84" s="26" t="n">
        <x:f>IF(A84="","",P83)</x:f>
        <x:v>0.1</x:v>
      </x:c>
      <x:c r="H84" s="26" t="n">
        <x:f>IF(A84="","",Q83)</x:f>
        <x:v>0.1</x:v>
      </x:c>
      <x:c r="I84" s="26" t="n">
        <x:f>IF(A84="","",R83)</x:f>
        <x:v>-0.1</x:v>
      </x:c>
      <x:c r="J84" s="26" t="n">
        <x:f>IF(A84="","",G84*D84+H84*E84+I84)</x:f>
        <x:v>0.1</x:v>
      </x:c>
      <x:c r="K84" s="26" t="n">
        <x:f>IF(A84="","",IF(J84&gt;=Parametreler!$B$11,1,-1))</x:f>
        <x:v>1</x:v>
      </x:c>
      <x:c r="L84" s="26" t="n">
        <x:f>IF(A84="","",IF(K84=F84,0,1))</x:f>
        <x:v>0</x:v>
      </x:c>
      <x:c r="M84" s="26" t="n">
        <x:f>IF(A84="","",Parametreler!$B$5*L84*F84*D84)</x:f>
        <x:v>0</x:v>
      </x:c>
      <x:c r="N84" s="26" t="n">
        <x:f>IF(A84="","",Parametreler!$B$5*L84*F84*E84)</x:f>
        <x:v>0</x:v>
      </x:c>
      <x:c r="O84" s="26" t="n">
        <x:f>IF(A84="","",Parametreler!$B$5*L84*F84)</x:f>
        <x:v>0</x:v>
      </x:c>
      <x:c r="P84" s="26" t="n">
        <x:f>IF(A84="","",G84+M84)</x:f>
        <x:v>0.1</x:v>
      </x:c>
      <x:c r="Q84" s="26" t="n">
        <x:f>IF(A84="","",H84+N84)</x:f>
        <x:v>0.1</x:v>
      </x:c>
      <x:c r="R84" s="26" t="n">
        <x:f>IF(A84="","",I84+O84)</x:f>
        <x:v>-0.1</x:v>
      </x:c>
    </x:row>
    <x:row r="85" ht="20" customHeight="1">
      <x:c r="A85" t="str">
        <x:f>IF(81&lt;=Parametreler!$B$9*Parametreler!$B$10,81,"")</x:f>
      </x:c>
      <x:c r="B85" t="str">
        <x:f>IF(A85="","",INT((A85-1)/Parametreler!$B$10)+1)</x:f>
      </x:c>
      <x:c r="C85" t="str">
        <x:f>IF(A85="","",MOD(A85-1,Parametreler!$B$10)+1)</x:f>
      </x:c>
      <x:c r="D85" s="26" t="str">
        <x:f>IF(A85="","",INDEX('Veri Kumesi'!$B$5:$B$8,C85))</x:f>
      </x:c>
      <x:c r="E85" s="26" t="str">
        <x:f>IF(A85="","",INDEX('Veri Kumesi'!$C$5:$C$8,C85))</x:f>
      </x:c>
      <x:c r="F85" s="26" t="str">
        <x:f>IF(A85="","",INDEX('Veri Kumesi'!$D$5:$D$8,C85))</x:f>
      </x:c>
      <x:c r="G85" s="26" t="str">
        <x:f>IF(A85="","",P84)</x:f>
      </x:c>
      <x:c r="H85" s="26" t="str">
        <x:f>IF(A85="","",Q84)</x:f>
      </x:c>
      <x:c r="I85" s="26" t="str">
        <x:f>IF(A85="","",R84)</x:f>
      </x:c>
      <x:c r="J85" s="26" t="str">
        <x:f>IF(A85="","",G85*D85+H85*E85+I85)</x:f>
      </x:c>
      <x:c r="K85" s="26" t="str">
        <x:f>IF(A85="","",IF(J85&gt;=Parametreler!$B$11,1,-1))</x:f>
      </x:c>
      <x:c r="L85" s="26" t="str">
        <x:f>IF(A85="","",IF(K85=F85,0,1))</x:f>
      </x:c>
      <x:c r="M85" s="26" t="str">
        <x:f>IF(A85="","",Parametreler!$B$5*L85*F85*D85)</x:f>
      </x:c>
      <x:c r="N85" s="26" t="str">
        <x:f>IF(A85="","",Parametreler!$B$5*L85*F85*E85)</x:f>
      </x:c>
      <x:c r="O85" s="26" t="str">
        <x:f>IF(A85="","",Parametreler!$B$5*L85*F85)</x:f>
      </x:c>
      <x:c r="P85" s="26" t="str">
        <x:f>IF(A85="","",G85+M85)</x:f>
      </x:c>
      <x:c r="Q85" s="26" t="str">
        <x:f>IF(A85="","",H85+N85)</x:f>
      </x:c>
      <x:c r="R85" s="26" t="str">
        <x:f>IF(A85="","",I85+O85)</x:f>
      </x:c>
    </x:row>
    <x:row r="86" ht="20" customHeight="1">
      <x:c r="A86" t="str">
        <x:f>IF(82&lt;=Parametreler!$B$9*Parametreler!$B$10,82,"")</x:f>
      </x:c>
      <x:c r="B86" t="str">
        <x:f>IF(A86="","",INT((A86-1)/Parametreler!$B$10)+1)</x:f>
      </x:c>
      <x:c r="C86" t="str">
        <x:f>IF(A86="","",MOD(A86-1,Parametreler!$B$10)+1)</x:f>
      </x:c>
      <x:c r="D86" s="26" t="str">
        <x:f>IF(A86="","",INDEX('Veri Kumesi'!$B$5:$B$8,C86))</x:f>
      </x:c>
      <x:c r="E86" s="26" t="str">
        <x:f>IF(A86="","",INDEX('Veri Kumesi'!$C$5:$C$8,C86))</x:f>
      </x:c>
      <x:c r="F86" s="26" t="str">
        <x:f>IF(A86="","",INDEX('Veri Kumesi'!$D$5:$D$8,C86))</x:f>
      </x:c>
      <x:c r="G86" s="26" t="str">
        <x:f>IF(A86="","",P85)</x:f>
      </x:c>
      <x:c r="H86" s="26" t="str">
        <x:f>IF(A86="","",Q85)</x:f>
      </x:c>
      <x:c r="I86" s="26" t="str">
        <x:f>IF(A86="","",R85)</x:f>
      </x:c>
      <x:c r="J86" s="26" t="str">
        <x:f>IF(A86="","",G86*D86+H86*E86+I86)</x:f>
      </x:c>
      <x:c r="K86" s="26" t="str">
        <x:f>IF(A86="","",IF(J86&gt;=Parametreler!$B$11,1,-1))</x:f>
      </x:c>
      <x:c r="L86" s="26" t="str">
        <x:f>IF(A86="","",IF(K86=F86,0,1))</x:f>
      </x:c>
      <x:c r="M86" s="26" t="str">
        <x:f>IF(A86="","",Parametreler!$B$5*L86*F86*D86)</x:f>
      </x:c>
      <x:c r="N86" s="26" t="str">
        <x:f>IF(A86="","",Parametreler!$B$5*L86*F86*E86)</x:f>
      </x:c>
      <x:c r="O86" s="26" t="str">
        <x:f>IF(A86="","",Parametreler!$B$5*L86*F86)</x:f>
      </x:c>
      <x:c r="P86" s="26" t="str">
        <x:f>IF(A86="","",G86+M86)</x:f>
      </x:c>
      <x:c r="Q86" s="26" t="str">
        <x:f>IF(A86="","",H86+N86)</x:f>
      </x:c>
      <x:c r="R86" s="26" t="str">
        <x:f>IF(A86="","",I86+O86)</x:f>
      </x:c>
    </x:row>
    <x:row r="87" ht="20" customHeight="1">
      <x:c r="A87" t="str">
        <x:f>IF(83&lt;=Parametreler!$B$9*Parametreler!$B$10,83,"")</x:f>
      </x:c>
      <x:c r="B87" t="str">
        <x:f>IF(A87="","",INT((A87-1)/Parametreler!$B$10)+1)</x:f>
      </x:c>
      <x:c r="C87" t="str">
        <x:f>IF(A87="","",MOD(A87-1,Parametreler!$B$10)+1)</x:f>
      </x:c>
      <x:c r="D87" s="26" t="str">
        <x:f>IF(A87="","",INDEX('Veri Kumesi'!$B$5:$B$8,C87))</x:f>
      </x:c>
      <x:c r="E87" s="26" t="str">
        <x:f>IF(A87="","",INDEX('Veri Kumesi'!$C$5:$C$8,C87))</x:f>
      </x:c>
      <x:c r="F87" s="26" t="str">
        <x:f>IF(A87="","",INDEX('Veri Kumesi'!$D$5:$D$8,C87))</x:f>
      </x:c>
      <x:c r="G87" s="26" t="str">
        <x:f>IF(A87="","",P86)</x:f>
      </x:c>
      <x:c r="H87" s="26" t="str">
        <x:f>IF(A87="","",Q86)</x:f>
      </x:c>
      <x:c r="I87" s="26" t="str">
        <x:f>IF(A87="","",R86)</x:f>
      </x:c>
      <x:c r="J87" s="26" t="str">
        <x:f>IF(A87="","",G87*D87+H87*E87+I87)</x:f>
      </x:c>
      <x:c r="K87" s="26" t="str">
        <x:f>IF(A87="","",IF(J87&gt;=Parametreler!$B$11,1,-1))</x:f>
      </x:c>
      <x:c r="L87" s="26" t="str">
        <x:f>IF(A87="","",IF(K87=F87,0,1))</x:f>
      </x:c>
      <x:c r="M87" s="26" t="str">
        <x:f>IF(A87="","",Parametreler!$B$5*L87*F87*D87)</x:f>
      </x:c>
      <x:c r="N87" s="26" t="str">
        <x:f>IF(A87="","",Parametreler!$B$5*L87*F87*E87)</x:f>
      </x:c>
      <x:c r="O87" s="26" t="str">
        <x:f>IF(A87="","",Parametreler!$B$5*L87*F87)</x:f>
      </x:c>
      <x:c r="P87" s="26" t="str">
        <x:f>IF(A87="","",G87+M87)</x:f>
      </x:c>
      <x:c r="Q87" s="26" t="str">
        <x:f>IF(A87="","",H87+N87)</x:f>
      </x:c>
      <x:c r="R87" s="26" t="str">
        <x:f>IF(A87="","",I87+O87)</x:f>
      </x:c>
    </x:row>
    <x:row r="88" ht="20" customHeight="1">
      <x:c r="A88" t="str">
        <x:f>IF(84&lt;=Parametreler!$B$9*Parametreler!$B$10,84,"")</x:f>
      </x:c>
      <x:c r="B88" t="str">
        <x:f>IF(A88="","",INT((A88-1)/Parametreler!$B$10)+1)</x:f>
      </x:c>
      <x:c r="C88" t="str">
        <x:f>IF(A88="","",MOD(A88-1,Parametreler!$B$10)+1)</x:f>
      </x:c>
      <x:c r="D88" s="26" t="str">
        <x:f>IF(A88="","",INDEX('Veri Kumesi'!$B$5:$B$8,C88))</x:f>
      </x:c>
      <x:c r="E88" s="26" t="str">
        <x:f>IF(A88="","",INDEX('Veri Kumesi'!$C$5:$C$8,C88))</x:f>
      </x:c>
      <x:c r="F88" s="26" t="str">
        <x:f>IF(A88="","",INDEX('Veri Kumesi'!$D$5:$D$8,C88))</x:f>
      </x:c>
      <x:c r="G88" s="26" t="str">
        <x:f>IF(A88="","",P87)</x:f>
      </x:c>
      <x:c r="H88" s="26" t="str">
        <x:f>IF(A88="","",Q87)</x:f>
      </x:c>
      <x:c r="I88" s="26" t="str">
        <x:f>IF(A88="","",R87)</x:f>
      </x:c>
      <x:c r="J88" s="26" t="str">
        <x:f>IF(A88="","",G88*D88+H88*E88+I88)</x:f>
      </x:c>
      <x:c r="K88" s="26" t="str">
        <x:f>IF(A88="","",IF(J88&gt;=Parametreler!$B$11,1,-1))</x:f>
      </x:c>
      <x:c r="L88" s="26" t="str">
        <x:f>IF(A88="","",IF(K88=F88,0,1))</x:f>
      </x:c>
      <x:c r="M88" s="26" t="str">
        <x:f>IF(A88="","",Parametreler!$B$5*L88*F88*D88)</x:f>
      </x:c>
      <x:c r="N88" s="26" t="str">
        <x:f>IF(A88="","",Parametreler!$B$5*L88*F88*E88)</x:f>
      </x:c>
      <x:c r="O88" s="26" t="str">
        <x:f>IF(A88="","",Parametreler!$B$5*L88*F88)</x:f>
      </x:c>
      <x:c r="P88" s="26" t="str">
        <x:f>IF(A88="","",G88+M88)</x:f>
      </x:c>
      <x:c r="Q88" s="26" t="str">
        <x:f>IF(A88="","",H88+N88)</x:f>
      </x:c>
      <x:c r="R88" s="26" t="str">
        <x:f>IF(A88="","",I88+O88)</x:f>
      </x:c>
    </x:row>
    <x:row r="89" ht="20" customHeight="1">
      <x:c r="A89" t="str">
        <x:f>IF(85&lt;=Parametreler!$B$9*Parametreler!$B$10,85,"")</x:f>
      </x:c>
      <x:c r="B89" t="str">
        <x:f>IF(A89="","",INT((A89-1)/Parametreler!$B$10)+1)</x:f>
      </x:c>
      <x:c r="C89" t="str">
        <x:f>IF(A89="","",MOD(A89-1,Parametreler!$B$10)+1)</x:f>
      </x:c>
      <x:c r="D89" s="26" t="str">
        <x:f>IF(A89="","",INDEX('Veri Kumesi'!$B$5:$B$8,C89))</x:f>
      </x:c>
      <x:c r="E89" s="26" t="str">
        <x:f>IF(A89="","",INDEX('Veri Kumesi'!$C$5:$C$8,C89))</x:f>
      </x:c>
      <x:c r="F89" s="26" t="str">
        <x:f>IF(A89="","",INDEX('Veri Kumesi'!$D$5:$D$8,C89))</x:f>
      </x:c>
      <x:c r="G89" s="26" t="str">
        <x:f>IF(A89="","",P88)</x:f>
      </x:c>
      <x:c r="H89" s="26" t="str">
        <x:f>IF(A89="","",Q88)</x:f>
      </x:c>
      <x:c r="I89" s="26" t="str">
        <x:f>IF(A89="","",R88)</x:f>
      </x:c>
      <x:c r="J89" s="26" t="str">
        <x:f>IF(A89="","",G89*D89+H89*E89+I89)</x:f>
      </x:c>
      <x:c r="K89" s="26" t="str">
        <x:f>IF(A89="","",IF(J89&gt;=Parametreler!$B$11,1,-1))</x:f>
      </x:c>
      <x:c r="L89" s="26" t="str">
        <x:f>IF(A89="","",IF(K89=F89,0,1))</x:f>
      </x:c>
      <x:c r="M89" s="26" t="str">
        <x:f>IF(A89="","",Parametreler!$B$5*L89*F89*D89)</x:f>
      </x:c>
      <x:c r="N89" s="26" t="str">
        <x:f>IF(A89="","",Parametreler!$B$5*L89*F89*E89)</x:f>
      </x:c>
      <x:c r="O89" s="26" t="str">
        <x:f>IF(A89="","",Parametreler!$B$5*L89*F89)</x:f>
      </x:c>
      <x:c r="P89" s="26" t="str">
        <x:f>IF(A89="","",G89+M89)</x:f>
      </x:c>
      <x:c r="Q89" s="26" t="str">
        <x:f>IF(A89="","",H89+N89)</x:f>
      </x:c>
      <x:c r="R89" s="26" t="str">
        <x:f>IF(A89="","",I89+O89)</x:f>
      </x:c>
    </x:row>
    <x:row r="90" ht="20" customHeight="1">
      <x:c r="A90" t="str">
        <x:f>IF(86&lt;=Parametreler!$B$9*Parametreler!$B$10,86,"")</x:f>
      </x:c>
      <x:c r="B90" t="str">
        <x:f>IF(A90="","",INT((A90-1)/Parametreler!$B$10)+1)</x:f>
      </x:c>
      <x:c r="C90" t="str">
        <x:f>IF(A90="","",MOD(A90-1,Parametreler!$B$10)+1)</x:f>
      </x:c>
      <x:c r="D90" s="26" t="str">
        <x:f>IF(A90="","",INDEX('Veri Kumesi'!$B$5:$B$8,C90))</x:f>
      </x:c>
      <x:c r="E90" s="26" t="str">
        <x:f>IF(A90="","",INDEX('Veri Kumesi'!$C$5:$C$8,C90))</x:f>
      </x:c>
      <x:c r="F90" s="26" t="str">
        <x:f>IF(A90="","",INDEX('Veri Kumesi'!$D$5:$D$8,C90))</x:f>
      </x:c>
      <x:c r="G90" s="26" t="str">
        <x:f>IF(A90="","",P89)</x:f>
      </x:c>
      <x:c r="H90" s="26" t="str">
        <x:f>IF(A90="","",Q89)</x:f>
      </x:c>
      <x:c r="I90" s="26" t="str">
        <x:f>IF(A90="","",R89)</x:f>
      </x:c>
      <x:c r="J90" s="26" t="str">
        <x:f>IF(A90="","",G90*D90+H90*E90+I90)</x:f>
      </x:c>
      <x:c r="K90" s="26" t="str">
        <x:f>IF(A90="","",IF(J90&gt;=Parametreler!$B$11,1,-1))</x:f>
      </x:c>
      <x:c r="L90" s="26" t="str">
        <x:f>IF(A90="","",IF(K90=F90,0,1))</x:f>
      </x:c>
      <x:c r="M90" s="26" t="str">
        <x:f>IF(A90="","",Parametreler!$B$5*L90*F90*D90)</x:f>
      </x:c>
      <x:c r="N90" s="26" t="str">
        <x:f>IF(A90="","",Parametreler!$B$5*L90*F90*E90)</x:f>
      </x:c>
      <x:c r="O90" s="26" t="str">
        <x:f>IF(A90="","",Parametreler!$B$5*L90*F90)</x:f>
      </x:c>
      <x:c r="P90" s="26" t="str">
        <x:f>IF(A90="","",G90+M90)</x:f>
      </x:c>
      <x:c r="Q90" s="26" t="str">
        <x:f>IF(A90="","",H90+N90)</x:f>
      </x:c>
      <x:c r="R90" s="26" t="str">
        <x:f>IF(A90="","",I90+O90)</x:f>
      </x:c>
    </x:row>
    <x:row r="91" ht="20" customHeight="1">
      <x:c r="A91" t="str">
        <x:f>IF(87&lt;=Parametreler!$B$9*Parametreler!$B$10,87,"")</x:f>
      </x:c>
      <x:c r="B91" t="str">
        <x:f>IF(A91="","",INT((A91-1)/Parametreler!$B$10)+1)</x:f>
      </x:c>
      <x:c r="C91" t="str">
        <x:f>IF(A91="","",MOD(A91-1,Parametreler!$B$10)+1)</x:f>
      </x:c>
      <x:c r="D91" s="26" t="str">
        <x:f>IF(A91="","",INDEX('Veri Kumesi'!$B$5:$B$8,C91))</x:f>
      </x:c>
      <x:c r="E91" s="26" t="str">
        <x:f>IF(A91="","",INDEX('Veri Kumesi'!$C$5:$C$8,C91))</x:f>
      </x:c>
      <x:c r="F91" s="26" t="str">
        <x:f>IF(A91="","",INDEX('Veri Kumesi'!$D$5:$D$8,C91))</x:f>
      </x:c>
      <x:c r="G91" s="26" t="str">
        <x:f>IF(A91="","",P90)</x:f>
      </x:c>
      <x:c r="H91" s="26" t="str">
        <x:f>IF(A91="","",Q90)</x:f>
      </x:c>
      <x:c r="I91" s="26" t="str">
        <x:f>IF(A91="","",R90)</x:f>
      </x:c>
      <x:c r="J91" s="26" t="str">
        <x:f>IF(A91="","",G91*D91+H91*E91+I91)</x:f>
      </x:c>
      <x:c r="K91" s="26" t="str">
        <x:f>IF(A91="","",IF(J91&gt;=Parametreler!$B$11,1,-1))</x:f>
      </x:c>
      <x:c r="L91" s="26" t="str">
        <x:f>IF(A91="","",IF(K91=F91,0,1))</x:f>
      </x:c>
      <x:c r="M91" s="26" t="str">
        <x:f>IF(A91="","",Parametreler!$B$5*L91*F91*D91)</x:f>
      </x:c>
      <x:c r="N91" s="26" t="str">
        <x:f>IF(A91="","",Parametreler!$B$5*L91*F91*E91)</x:f>
      </x:c>
      <x:c r="O91" s="26" t="str">
        <x:f>IF(A91="","",Parametreler!$B$5*L91*F91)</x:f>
      </x:c>
      <x:c r="P91" s="26" t="str">
        <x:f>IF(A91="","",G91+M91)</x:f>
      </x:c>
      <x:c r="Q91" s="26" t="str">
        <x:f>IF(A91="","",H91+N91)</x:f>
      </x:c>
      <x:c r="R91" s="26" t="str">
        <x:f>IF(A91="","",I91+O91)</x:f>
      </x:c>
    </x:row>
    <x:row r="92" ht="20" customHeight="1">
      <x:c r="A92" t="str">
        <x:f>IF(88&lt;=Parametreler!$B$9*Parametreler!$B$10,88,"")</x:f>
      </x:c>
      <x:c r="B92" t="str">
        <x:f>IF(A92="","",INT((A92-1)/Parametreler!$B$10)+1)</x:f>
      </x:c>
      <x:c r="C92" t="str">
        <x:f>IF(A92="","",MOD(A92-1,Parametreler!$B$10)+1)</x:f>
      </x:c>
      <x:c r="D92" s="26" t="str">
        <x:f>IF(A92="","",INDEX('Veri Kumesi'!$B$5:$B$8,C92))</x:f>
      </x:c>
      <x:c r="E92" s="26" t="str">
        <x:f>IF(A92="","",INDEX('Veri Kumesi'!$C$5:$C$8,C92))</x:f>
      </x:c>
      <x:c r="F92" s="26" t="str">
        <x:f>IF(A92="","",INDEX('Veri Kumesi'!$D$5:$D$8,C92))</x:f>
      </x:c>
      <x:c r="G92" s="26" t="str">
        <x:f>IF(A92="","",P91)</x:f>
      </x:c>
      <x:c r="H92" s="26" t="str">
        <x:f>IF(A92="","",Q91)</x:f>
      </x:c>
      <x:c r="I92" s="26" t="str">
        <x:f>IF(A92="","",R91)</x:f>
      </x:c>
      <x:c r="J92" s="26" t="str">
        <x:f>IF(A92="","",G92*D92+H92*E92+I92)</x:f>
      </x:c>
      <x:c r="K92" s="26" t="str">
        <x:f>IF(A92="","",IF(J92&gt;=Parametreler!$B$11,1,-1))</x:f>
      </x:c>
      <x:c r="L92" s="26" t="str">
        <x:f>IF(A92="","",IF(K92=F92,0,1))</x:f>
      </x:c>
      <x:c r="M92" s="26" t="str">
        <x:f>IF(A92="","",Parametreler!$B$5*L92*F92*D92)</x:f>
      </x:c>
      <x:c r="N92" s="26" t="str">
        <x:f>IF(A92="","",Parametreler!$B$5*L92*F92*E92)</x:f>
      </x:c>
      <x:c r="O92" s="26" t="str">
        <x:f>IF(A92="","",Parametreler!$B$5*L92*F92)</x:f>
      </x:c>
      <x:c r="P92" s="26" t="str">
        <x:f>IF(A92="","",G92+M92)</x:f>
      </x:c>
      <x:c r="Q92" s="26" t="str">
        <x:f>IF(A92="","",H92+N92)</x:f>
      </x:c>
      <x:c r="R92" s="26" t="str">
        <x:f>IF(A92="","",I92+O92)</x:f>
      </x:c>
    </x:row>
    <x:row r="93" ht="20" customHeight="1">
      <x:c r="A93" t="str">
        <x:f>IF(89&lt;=Parametreler!$B$9*Parametreler!$B$10,89,"")</x:f>
      </x:c>
      <x:c r="B93" t="str">
        <x:f>IF(A93="","",INT((A93-1)/Parametreler!$B$10)+1)</x:f>
      </x:c>
      <x:c r="C93" t="str">
        <x:f>IF(A93="","",MOD(A93-1,Parametreler!$B$10)+1)</x:f>
      </x:c>
      <x:c r="D93" s="26" t="str">
        <x:f>IF(A93="","",INDEX('Veri Kumesi'!$B$5:$B$8,C93))</x:f>
      </x:c>
      <x:c r="E93" s="26" t="str">
        <x:f>IF(A93="","",INDEX('Veri Kumesi'!$C$5:$C$8,C93))</x:f>
      </x:c>
      <x:c r="F93" s="26" t="str">
        <x:f>IF(A93="","",INDEX('Veri Kumesi'!$D$5:$D$8,C93))</x:f>
      </x:c>
      <x:c r="G93" s="26" t="str">
        <x:f>IF(A93="","",P92)</x:f>
      </x:c>
      <x:c r="H93" s="26" t="str">
        <x:f>IF(A93="","",Q92)</x:f>
      </x:c>
      <x:c r="I93" s="26" t="str">
        <x:f>IF(A93="","",R92)</x:f>
      </x:c>
      <x:c r="J93" s="26" t="str">
        <x:f>IF(A93="","",G93*D93+H93*E93+I93)</x:f>
      </x:c>
      <x:c r="K93" s="26" t="str">
        <x:f>IF(A93="","",IF(J93&gt;=Parametreler!$B$11,1,-1))</x:f>
      </x:c>
      <x:c r="L93" s="26" t="str">
        <x:f>IF(A93="","",IF(K93=F93,0,1))</x:f>
      </x:c>
      <x:c r="M93" s="26" t="str">
        <x:f>IF(A93="","",Parametreler!$B$5*L93*F93*D93)</x:f>
      </x:c>
      <x:c r="N93" s="26" t="str">
        <x:f>IF(A93="","",Parametreler!$B$5*L93*F93*E93)</x:f>
      </x:c>
      <x:c r="O93" s="26" t="str">
        <x:f>IF(A93="","",Parametreler!$B$5*L93*F93)</x:f>
      </x:c>
      <x:c r="P93" s="26" t="str">
        <x:f>IF(A93="","",G93+M93)</x:f>
      </x:c>
      <x:c r="Q93" s="26" t="str">
        <x:f>IF(A93="","",H93+N93)</x:f>
      </x:c>
      <x:c r="R93" s="26" t="str">
        <x:f>IF(A93="","",I93+O93)</x:f>
      </x:c>
    </x:row>
    <x:row r="94" ht="20" customHeight="1">
      <x:c r="A94" t="str">
        <x:f>IF(90&lt;=Parametreler!$B$9*Parametreler!$B$10,90,"")</x:f>
      </x:c>
      <x:c r="B94" t="str">
        <x:f>IF(A94="","",INT((A94-1)/Parametreler!$B$10)+1)</x:f>
      </x:c>
      <x:c r="C94" t="str">
        <x:f>IF(A94="","",MOD(A94-1,Parametreler!$B$10)+1)</x:f>
      </x:c>
      <x:c r="D94" s="26" t="str">
        <x:f>IF(A94="","",INDEX('Veri Kumesi'!$B$5:$B$8,C94))</x:f>
      </x:c>
      <x:c r="E94" s="26" t="str">
        <x:f>IF(A94="","",INDEX('Veri Kumesi'!$C$5:$C$8,C94))</x:f>
      </x:c>
      <x:c r="F94" s="26" t="str">
        <x:f>IF(A94="","",INDEX('Veri Kumesi'!$D$5:$D$8,C94))</x:f>
      </x:c>
      <x:c r="G94" s="26" t="str">
        <x:f>IF(A94="","",P93)</x:f>
      </x:c>
      <x:c r="H94" s="26" t="str">
        <x:f>IF(A94="","",Q93)</x:f>
      </x:c>
      <x:c r="I94" s="26" t="str">
        <x:f>IF(A94="","",R93)</x:f>
      </x:c>
      <x:c r="J94" s="26" t="str">
        <x:f>IF(A94="","",G94*D94+H94*E94+I94)</x:f>
      </x:c>
      <x:c r="K94" s="26" t="str">
        <x:f>IF(A94="","",IF(J94&gt;=Parametreler!$B$11,1,-1))</x:f>
      </x:c>
      <x:c r="L94" s="26" t="str">
        <x:f>IF(A94="","",IF(K94=F94,0,1))</x:f>
      </x:c>
      <x:c r="M94" s="26" t="str">
        <x:f>IF(A94="","",Parametreler!$B$5*L94*F94*D94)</x:f>
      </x:c>
      <x:c r="N94" s="26" t="str">
        <x:f>IF(A94="","",Parametreler!$B$5*L94*F94*E94)</x:f>
      </x:c>
      <x:c r="O94" s="26" t="str">
        <x:f>IF(A94="","",Parametreler!$B$5*L94*F94)</x:f>
      </x:c>
      <x:c r="P94" s="26" t="str">
        <x:f>IF(A94="","",G94+M94)</x:f>
      </x:c>
      <x:c r="Q94" s="26" t="str">
        <x:f>IF(A94="","",H94+N94)</x:f>
      </x:c>
      <x:c r="R94" s="26" t="str">
        <x:f>IF(A94="","",I94+O94)</x:f>
      </x:c>
    </x:row>
    <x:row r="95" ht="20" customHeight="1">
      <x:c r="A95" t="str">
        <x:f>IF(91&lt;=Parametreler!$B$9*Parametreler!$B$10,91,"")</x:f>
      </x:c>
      <x:c r="B95" t="str">
        <x:f>IF(A95="","",INT((A95-1)/Parametreler!$B$10)+1)</x:f>
      </x:c>
      <x:c r="C95" t="str">
        <x:f>IF(A95="","",MOD(A95-1,Parametreler!$B$10)+1)</x:f>
      </x:c>
      <x:c r="D95" s="26" t="str">
        <x:f>IF(A95="","",INDEX('Veri Kumesi'!$B$5:$B$8,C95))</x:f>
      </x:c>
      <x:c r="E95" s="26" t="str">
        <x:f>IF(A95="","",INDEX('Veri Kumesi'!$C$5:$C$8,C95))</x:f>
      </x:c>
      <x:c r="F95" s="26" t="str">
        <x:f>IF(A95="","",INDEX('Veri Kumesi'!$D$5:$D$8,C95))</x:f>
      </x:c>
      <x:c r="G95" s="26" t="str">
        <x:f>IF(A95="","",P94)</x:f>
      </x:c>
      <x:c r="H95" s="26" t="str">
        <x:f>IF(A95="","",Q94)</x:f>
      </x:c>
      <x:c r="I95" s="26" t="str">
        <x:f>IF(A95="","",R94)</x:f>
      </x:c>
      <x:c r="J95" s="26" t="str">
        <x:f>IF(A95="","",G95*D95+H95*E95+I95)</x:f>
      </x:c>
      <x:c r="K95" s="26" t="str">
        <x:f>IF(A95="","",IF(J95&gt;=Parametreler!$B$11,1,-1))</x:f>
      </x:c>
      <x:c r="L95" s="26" t="str">
        <x:f>IF(A95="","",IF(K95=F95,0,1))</x:f>
      </x:c>
      <x:c r="M95" s="26" t="str">
        <x:f>IF(A95="","",Parametreler!$B$5*L95*F95*D95)</x:f>
      </x:c>
      <x:c r="N95" s="26" t="str">
        <x:f>IF(A95="","",Parametreler!$B$5*L95*F95*E95)</x:f>
      </x:c>
      <x:c r="O95" s="26" t="str">
        <x:f>IF(A95="","",Parametreler!$B$5*L95*F95)</x:f>
      </x:c>
      <x:c r="P95" s="26" t="str">
        <x:f>IF(A95="","",G95+M95)</x:f>
      </x:c>
      <x:c r="Q95" s="26" t="str">
        <x:f>IF(A95="","",H95+N95)</x:f>
      </x:c>
      <x:c r="R95" s="26" t="str">
        <x:f>IF(A95="","",I95+O95)</x:f>
      </x:c>
    </x:row>
    <x:row r="96" ht="20" customHeight="1">
      <x:c r="A96" t="str">
        <x:f>IF(92&lt;=Parametreler!$B$9*Parametreler!$B$10,92,"")</x:f>
      </x:c>
      <x:c r="B96" t="str">
        <x:f>IF(A96="","",INT((A96-1)/Parametreler!$B$10)+1)</x:f>
      </x:c>
      <x:c r="C96" t="str">
        <x:f>IF(A96="","",MOD(A96-1,Parametreler!$B$10)+1)</x:f>
      </x:c>
      <x:c r="D96" s="26" t="str">
        <x:f>IF(A96="","",INDEX('Veri Kumesi'!$B$5:$B$8,C96))</x:f>
      </x:c>
      <x:c r="E96" s="26" t="str">
        <x:f>IF(A96="","",INDEX('Veri Kumesi'!$C$5:$C$8,C96))</x:f>
      </x:c>
      <x:c r="F96" s="26" t="str">
        <x:f>IF(A96="","",INDEX('Veri Kumesi'!$D$5:$D$8,C96))</x:f>
      </x:c>
      <x:c r="G96" s="26" t="str">
        <x:f>IF(A96="","",P95)</x:f>
      </x:c>
      <x:c r="H96" s="26" t="str">
        <x:f>IF(A96="","",Q95)</x:f>
      </x:c>
      <x:c r="I96" s="26" t="str">
        <x:f>IF(A96="","",R95)</x:f>
      </x:c>
      <x:c r="J96" s="26" t="str">
        <x:f>IF(A96="","",G96*D96+H96*E96+I96)</x:f>
      </x:c>
      <x:c r="K96" s="26" t="str">
        <x:f>IF(A96="","",IF(J96&gt;=Parametreler!$B$11,1,-1))</x:f>
      </x:c>
      <x:c r="L96" s="26" t="str">
        <x:f>IF(A96="","",IF(K96=F96,0,1))</x:f>
      </x:c>
      <x:c r="M96" s="26" t="str">
        <x:f>IF(A96="","",Parametreler!$B$5*L96*F96*D96)</x:f>
      </x:c>
      <x:c r="N96" s="26" t="str">
        <x:f>IF(A96="","",Parametreler!$B$5*L96*F96*E96)</x:f>
      </x:c>
      <x:c r="O96" s="26" t="str">
        <x:f>IF(A96="","",Parametreler!$B$5*L96*F96)</x:f>
      </x:c>
      <x:c r="P96" s="26" t="str">
        <x:f>IF(A96="","",G96+M96)</x:f>
      </x:c>
      <x:c r="Q96" s="26" t="str">
        <x:f>IF(A96="","",H96+N96)</x:f>
      </x:c>
      <x:c r="R96" s="26" t="str">
        <x:f>IF(A96="","",I96+O96)</x:f>
      </x:c>
    </x:row>
    <x:row r="97" ht="20" customHeight="1">
      <x:c r="A97" t="str">
        <x:f>IF(93&lt;=Parametreler!$B$9*Parametreler!$B$10,93,"")</x:f>
      </x:c>
      <x:c r="B97" t="str">
        <x:f>IF(A97="","",INT((A97-1)/Parametreler!$B$10)+1)</x:f>
      </x:c>
      <x:c r="C97" t="str">
        <x:f>IF(A97="","",MOD(A97-1,Parametreler!$B$10)+1)</x:f>
      </x:c>
      <x:c r="D97" s="26" t="str">
        <x:f>IF(A97="","",INDEX('Veri Kumesi'!$B$5:$B$8,C97))</x:f>
      </x:c>
      <x:c r="E97" s="26" t="str">
        <x:f>IF(A97="","",INDEX('Veri Kumesi'!$C$5:$C$8,C97))</x:f>
      </x:c>
      <x:c r="F97" s="26" t="str">
        <x:f>IF(A97="","",INDEX('Veri Kumesi'!$D$5:$D$8,C97))</x:f>
      </x:c>
      <x:c r="G97" s="26" t="str">
        <x:f>IF(A97="","",P96)</x:f>
      </x:c>
      <x:c r="H97" s="26" t="str">
        <x:f>IF(A97="","",Q96)</x:f>
      </x:c>
      <x:c r="I97" s="26" t="str">
        <x:f>IF(A97="","",R96)</x:f>
      </x:c>
      <x:c r="J97" s="26" t="str">
        <x:f>IF(A97="","",G97*D97+H97*E97+I97)</x:f>
      </x:c>
      <x:c r="K97" s="26" t="str">
        <x:f>IF(A97="","",IF(J97&gt;=Parametreler!$B$11,1,-1))</x:f>
      </x:c>
      <x:c r="L97" s="26" t="str">
        <x:f>IF(A97="","",IF(K97=F97,0,1))</x:f>
      </x:c>
      <x:c r="M97" s="26" t="str">
        <x:f>IF(A97="","",Parametreler!$B$5*L97*F97*D97)</x:f>
      </x:c>
      <x:c r="N97" s="26" t="str">
        <x:f>IF(A97="","",Parametreler!$B$5*L97*F97*E97)</x:f>
      </x:c>
      <x:c r="O97" s="26" t="str">
        <x:f>IF(A97="","",Parametreler!$B$5*L97*F97)</x:f>
      </x:c>
      <x:c r="P97" s="26" t="str">
        <x:f>IF(A97="","",G97+M97)</x:f>
      </x:c>
      <x:c r="Q97" s="26" t="str">
        <x:f>IF(A97="","",H97+N97)</x:f>
      </x:c>
      <x:c r="R97" s="26" t="str">
        <x:f>IF(A97="","",I97+O97)</x:f>
      </x:c>
    </x:row>
    <x:row r="98" ht="20" customHeight="1">
      <x:c r="A98" t="str">
        <x:f>IF(94&lt;=Parametreler!$B$9*Parametreler!$B$10,94,"")</x:f>
      </x:c>
      <x:c r="B98" t="str">
        <x:f>IF(A98="","",INT((A98-1)/Parametreler!$B$10)+1)</x:f>
      </x:c>
      <x:c r="C98" t="str">
        <x:f>IF(A98="","",MOD(A98-1,Parametreler!$B$10)+1)</x:f>
      </x:c>
      <x:c r="D98" s="26" t="str">
        <x:f>IF(A98="","",INDEX('Veri Kumesi'!$B$5:$B$8,C98))</x:f>
      </x:c>
      <x:c r="E98" s="26" t="str">
        <x:f>IF(A98="","",INDEX('Veri Kumesi'!$C$5:$C$8,C98))</x:f>
      </x:c>
      <x:c r="F98" s="26" t="str">
        <x:f>IF(A98="","",INDEX('Veri Kumesi'!$D$5:$D$8,C98))</x:f>
      </x:c>
      <x:c r="G98" s="26" t="str">
        <x:f>IF(A98="","",P97)</x:f>
      </x:c>
      <x:c r="H98" s="26" t="str">
        <x:f>IF(A98="","",Q97)</x:f>
      </x:c>
      <x:c r="I98" s="26" t="str">
        <x:f>IF(A98="","",R97)</x:f>
      </x:c>
      <x:c r="J98" s="26" t="str">
        <x:f>IF(A98="","",G98*D98+H98*E98+I98)</x:f>
      </x:c>
      <x:c r="K98" s="26" t="str">
        <x:f>IF(A98="","",IF(J98&gt;=Parametreler!$B$11,1,-1))</x:f>
      </x:c>
      <x:c r="L98" s="26" t="str">
        <x:f>IF(A98="","",IF(K98=F98,0,1))</x:f>
      </x:c>
      <x:c r="M98" s="26" t="str">
        <x:f>IF(A98="","",Parametreler!$B$5*L98*F98*D98)</x:f>
      </x:c>
      <x:c r="N98" s="26" t="str">
        <x:f>IF(A98="","",Parametreler!$B$5*L98*F98*E98)</x:f>
      </x:c>
      <x:c r="O98" s="26" t="str">
        <x:f>IF(A98="","",Parametreler!$B$5*L98*F98)</x:f>
      </x:c>
      <x:c r="P98" s="26" t="str">
        <x:f>IF(A98="","",G98+M98)</x:f>
      </x:c>
      <x:c r="Q98" s="26" t="str">
        <x:f>IF(A98="","",H98+N98)</x:f>
      </x:c>
      <x:c r="R98" s="26" t="str">
        <x:f>IF(A98="","",I98+O98)</x:f>
      </x:c>
    </x:row>
    <x:row r="99" ht="20" customHeight="1">
      <x:c r="A99" t="str">
        <x:f>IF(95&lt;=Parametreler!$B$9*Parametreler!$B$10,95,"")</x:f>
      </x:c>
      <x:c r="B99" t="str">
        <x:f>IF(A99="","",INT((A99-1)/Parametreler!$B$10)+1)</x:f>
      </x:c>
      <x:c r="C99" t="str">
        <x:f>IF(A99="","",MOD(A99-1,Parametreler!$B$10)+1)</x:f>
      </x:c>
      <x:c r="D99" s="26" t="str">
        <x:f>IF(A99="","",INDEX('Veri Kumesi'!$B$5:$B$8,C99))</x:f>
      </x:c>
      <x:c r="E99" s="26" t="str">
        <x:f>IF(A99="","",INDEX('Veri Kumesi'!$C$5:$C$8,C99))</x:f>
      </x:c>
      <x:c r="F99" s="26" t="str">
        <x:f>IF(A99="","",INDEX('Veri Kumesi'!$D$5:$D$8,C99))</x:f>
      </x:c>
      <x:c r="G99" s="26" t="str">
        <x:f>IF(A99="","",P98)</x:f>
      </x:c>
      <x:c r="H99" s="26" t="str">
        <x:f>IF(A99="","",Q98)</x:f>
      </x:c>
      <x:c r="I99" s="26" t="str">
        <x:f>IF(A99="","",R98)</x:f>
      </x:c>
      <x:c r="J99" s="26" t="str">
        <x:f>IF(A99="","",G99*D99+H99*E99+I99)</x:f>
      </x:c>
      <x:c r="K99" s="26" t="str">
        <x:f>IF(A99="","",IF(J99&gt;=Parametreler!$B$11,1,-1))</x:f>
      </x:c>
      <x:c r="L99" s="26" t="str">
        <x:f>IF(A99="","",IF(K99=F99,0,1))</x:f>
      </x:c>
      <x:c r="M99" s="26" t="str">
        <x:f>IF(A99="","",Parametreler!$B$5*L99*F99*D99)</x:f>
      </x:c>
      <x:c r="N99" s="26" t="str">
        <x:f>IF(A99="","",Parametreler!$B$5*L99*F99*E99)</x:f>
      </x:c>
      <x:c r="O99" s="26" t="str">
        <x:f>IF(A99="","",Parametreler!$B$5*L99*F99)</x:f>
      </x:c>
      <x:c r="P99" s="26" t="str">
        <x:f>IF(A99="","",G99+M99)</x:f>
      </x:c>
      <x:c r="Q99" s="26" t="str">
        <x:f>IF(A99="","",H99+N99)</x:f>
      </x:c>
      <x:c r="R99" s="26" t="str">
        <x:f>IF(A99="","",I99+O99)</x:f>
      </x:c>
    </x:row>
    <x:row r="100" ht="20" customHeight="1">
      <x:c r="A100" t="str">
        <x:f>IF(96&lt;=Parametreler!$B$9*Parametreler!$B$10,96,"")</x:f>
      </x:c>
      <x:c r="B100" t="str">
        <x:f>IF(A100="","",INT((A100-1)/Parametreler!$B$10)+1)</x:f>
      </x:c>
      <x:c r="C100" t="str">
        <x:f>IF(A100="","",MOD(A100-1,Parametreler!$B$10)+1)</x:f>
      </x:c>
      <x:c r="D100" s="26" t="str">
        <x:f>IF(A100="","",INDEX('Veri Kumesi'!$B$5:$B$8,C100))</x:f>
      </x:c>
      <x:c r="E100" s="26" t="str">
        <x:f>IF(A100="","",INDEX('Veri Kumesi'!$C$5:$C$8,C100))</x:f>
      </x:c>
      <x:c r="F100" s="26" t="str">
        <x:f>IF(A100="","",INDEX('Veri Kumesi'!$D$5:$D$8,C100))</x:f>
      </x:c>
      <x:c r="G100" s="26" t="str">
        <x:f>IF(A100="","",P99)</x:f>
      </x:c>
      <x:c r="H100" s="26" t="str">
        <x:f>IF(A100="","",Q99)</x:f>
      </x:c>
      <x:c r="I100" s="26" t="str">
        <x:f>IF(A100="","",R99)</x:f>
      </x:c>
      <x:c r="J100" s="26" t="str">
        <x:f>IF(A100="","",G100*D100+H100*E100+I100)</x:f>
      </x:c>
      <x:c r="K100" s="26" t="str">
        <x:f>IF(A100="","",IF(J100&gt;=Parametreler!$B$11,1,-1))</x:f>
      </x:c>
      <x:c r="L100" s="26" t="str">
        <x:f>IF(A100="","",IF(K100=F100,0,1))</x:f>
      </x:c>
      <x:c r="M100" s="26" t="str">
        <x:f>IF(A100="","",Parametreler!$B$5*L100*F100*D100)</x:f>
      </x:c>
      <x:c r="N100" s="26" t="str">
        <x:f>IF(A100="","",Parametreler!$B$5*L100*F100*E100)</x:f>
      </x:c>
      <x:c r="O100" s="26" t="str">
        <x:f>IF(A100="","",Parametreler!$B$5*L100*F100)</x:f>
      </x:c>
      <x:c r="P100" s="26" t="str">
        <x:f>IF(A100="","",G100+M100)</x:f>
      </x:c>
      <x:c r="Q100" s="26" t="str">
        <x:f>IF(A100="","",H100+N100)</x:f>
      </x:c>
      <x:c r="R100" s="26" t="str">
        <x:f>IF(A100="","",I100+O100)</x:f>
      </x:c>
    </x:row>
    <x:row r="101" ht="20" customHeight="1">
      <x:c r="A101" t="str">
        <x:f>IF(97&lt;=Parametreler!$B$9*Parametreler!$B$10,97,"")</x:f>
      </x:c>
      <x:c r="B101" t="str">
        <x:f>IF(A101="","",INT((A101-1)/Parametreler!$B$10)+1)</x:f>
      </x:c>
      <x:c r="C101" t="str">
        <x:f>IF(A101="","",MOD(A101-1,Parametreler!$B$10)+1)</x:f>
      </x:c>
      <x:c r="D101" s="26" t="str">
        <x:f>IF(A101="","",INDEX('Veri Kumesi'!$B$5:$B$8,C101))</x:f>
      </x:c>
      <x:c r="E101" s="26" t="str">
        <x:f>IF(A101="","",INDEX('Veri Kumesi'!$C$5:$C$8,C101))</x:f>
      </x:c>
      <x:c r="F101" s="26" t="str">
        <x:f>IF(A101="","",INDEX('Veri Kumesi'!$D$5:$D$8,C101))</x:f>
      </x:c>
      <x:c r="G101" s="26" t="str">
        <x:f>IF(A101="","",P100)</x:f>
      </x:c>
      <x:c r="H101" s="26" t="str">
        <x:f>IF(A101="","",Q100)</x:f>
      </x:c>
      <x:c r="I101" s="26" t="str">
        <x:f>IF(A101="","",R100)</x:f>
      </x:c>
      <x:c r="J101" s="26" t="str">
        <x:f>IF(A101="","",G101*D101+H101*E101+I101)</x:f>
      </x:c>
      <x:c r="K101" s="26" t="str">
        <x:f>IF(A101="","",IF(J101&gt;=Parametreler!$B$11,1,-1))</x:f>
      </x:c>
      <x:c r="L101" s="26" t="str">
        <x:f>IF(A101="","",IF(K101=F101,0,1))</x:f>
      </x:c>
      <x:c r="M101" s="26" t="str">
        <x:f>IF(A101="","",Parametreler!$B$5*L101*F101*D101)</x:f>
      </x:c>
      <x:c r="N101" s="26" t="str">
        <x:f>IF(A101="","",Parametreler!$B$5*L101*F101*E101)</x:f>
      </x:c>
      <x:c r="O101" s="26" t="str">
        <x:f>IF(A101="","",Parametreler!$B$5*L101*F101)</x:f>
      </x:c>
      <x:c r="P101" s="26" t="str">
        <x:f>IF(A101="","",G101+M101)</x:f>
      </x:c>
      <x:c r="Q101" s="26" t="str">
        <x:f>IF(A101="","",H101+N101)</x:f>
      </x:c>
      <x:c r="R101" s="26" t="str">
        <x:f>IF(A101="","",I101+O101)</x:f>
      </x:c>
    </x:row>
    <x:row r="102" ht="20" customHeight="1">
      <x:c r="A102" t="str">
        <x:f>IF(98&lt;=Parametreler!$B$9*Parametreler!$B$10,98,"")</x:f>
      </x:c>
      <x:c r="B102" t="str">
        <x:f>IF(A102="","",INT((A102-1)/Parametreler!$B$10)+1)</x:f>
      </x:c>
      <x:c r="C102" t="str">
        <x:f>IF(A102="","",MOD(A102-1,Parametreler!$B$10)+1)</x:f>
      </x:c>
      <x:c r="D102" s="26" t="str">
        <x:f>IF(A102="","",INDEX('Veri Kumesi'!$B$5:$B$8,C102))</x:f>
      </x:c>
      <x:c r="E102" s="26" t="str">
        <x:f>IF(A102="","",INDEX('Veri Kumesi'!$C$5:$C$8,C102))</x:f>
      </x:c>
      <x:c r="F102" s="26" t="str">
        <x:f>IF(A102="","",INDEX('Veri Kumesi'!$D$5:$D$8,C102))</x:f>
      </x:c>
      <x:c r="G102" s="26" t="str">
        <x:f>IF(A102="","",P101)</x:f>
      </x:c>
      <x:c r="H102" s="26" t="str">
        <x:f>IF(A102="","",Q101)</x:f>
      </x:c>
      <x:c r="I102" s="26" t="str">
        <x:f>IF(A102="","",R101)</x:f>
      </x:c>
      <x:c r="J102" s="26" t="str">
        <x:f>IF(A102="","",G102*D102+H102*E102+I102)</x:f>
      </x:c>
      <x:c r="K102" s="26" t="str">
        <x:f>IF(A102="","",IF(J102&gt;=Parametreler!$B$11,1,-1))</x:f>
      </x:c>
      <x:c r="L102" s="26" t="str">
        <x:f>IF(A102="","",IF(K102=F102,0,1))</x:f>
      </x:c>
      <x:c r="M102" s="26" t="str">
        <x:f>IF(A102="","",Parametreler!$B$5*L102*F102*D102)</x:f>
      </x:c>
      <x:c r="N102" s="26" t="str">
        <x:f>IF(A102="","",Parametreler!$B$5*L102*F102*E102)</x:f>
      </x:c>
      <x:c r="O102" s="26" t="str">
        <x:f>IF(A102="","",Parametreler!$B$5*L102*F102)</x:f>
      </x:c>
      <x:c r="P102" s="26" t="str">
        <x:f>IF(A102="","",G102+M102)</x:f>
      </x:c>
      <x:c r="Q102" s="26" t="str">
        <x:f>IF(A102="","",H102+N102)</x:f>
      </x:c>
      <x:c r="R102" s="26" t="str">
        <x:f>IF(A102="","",I102+O102)</x:f>
      </x:c>
    </x:row>
    <x:row r="103" ht="20" customHeight="1">
      <x:c r="A103" t="str">
        <x:f>IF(99&lt;=Parametreler!$B$9*Parametreler!$B$10,99,"")</x:f>
      </x:c>
      <x:c r="B103" t="str">
        <x:f>IF(A103="","",INT((A103-1)/Parametreler!$B$10)+1)</x:f>
      </x:c>
      <x:c r="C103" t="str">
        <x:f>IF(A103="","",MOD(A103-1,Parametreler!$B$10)+1)</x:f>
      </x:c>
      <x:c r="D103" s="26" t="str">
        <x:f>IF(A103="","",INDEX('Veri Kumesi'!$B$5:$B$8,C103))</x:f>
      </x:c>
      <x:c r="E103" s="26" t="str">
        <x:f>IF(A103="","",INDEX('Veri Kumesi'!$C$5:$C$8,C103))</x:f>
      </x:c>
      <x:c r="F103" s="26" t="str">
        <x:f>IF(A103="","",INDEX('Veri Kumesi'!$D$5:$D$8,C103))</x:f>
      </x:c>
      <x:c r="G103" s="26" t="str">
        <x:f>IF(A103="","",P102)</x:f>
      </x:c>
      <x:c r="H103" s="26" t="str">
        <x:f>IF(A103="","",Q102)</x:f>
      </x:c>
      <x:c r="I103" s="26" t="str">
        <x:f>IF(A103="","",R102)</x:f>
      </x:c>
      <x:c r="J103" s="26" t="str">
        <x:f>IF(A103="","",G103*D103+H103*E103+I103)</x:f>
      </x:c>
      <x:c r="K103" s="26" t="str">
        <x:f>IF(A103="","",IF(J103&gt;=Parametreler!$B$11,1,-1))</x:f>
      </x:c>
      <x:c r="L103" s="26" t="str">
        <x:f>IF(A103="","",IF(K103=F103,0,1))</x:f>
      </x:c>
      <x:c r="M103" s="26" t="str">
        <x:f>IF(A103="","",Parametreler!$B$5*L103*F103*D103)</x:f>
      </x:c>
      <x:c r="N103" s="26" t="str">
        <x:f>IF(A103="","",Parametreler!$B$5*L103*F103*E103)</x:f>
      </x:c>
      <x:c r="O103" s="26" t="str">
        <x:f>IF(A103="","",Parametreler!$B$5*L103*F103)</x:f>
      </x:c>
      <x:c r="P103" s="26" t="str">
        <x:f>IF(A103="","",G103+M103)</x:f>
      </x:c>
      <x:c r="Q103" s="26" t="str">
        <x:f>IF(A103="","",H103+N103)</x:f>
      </x:c>
      <x:c r="R103" s="26" t="str">
        <x:f>IF(A103="","",I103+O103)</x:f>
      </x:c>
    </x:row>
    <x:row r="104" ht="20" customHeight="1">
      <x:c r="A104" t="str">
        <x:f>IF(100&lt;=Parametreler!$B$9*Parametreler!$B$10,100,"")</x:f>
      </x:c>
      <x:c r="B104" t="str">
        <x:f>IF(A104="","",INT((A104-1)/Parametreler!$B$10)+1)</x:f>
      </x:c>
      <x:c r="C104" t="str">
        <x:f>IF(A104="","",MOD(A104-1,Parametreler!$B$10)+1)</x:f>
      </x:c>
      <x:c r="D104" s="26" t="str">
        <x:f>IF(A104="","",INDEX('Veri Kumesi'!$B$5:$B$8,C104))</x:f>
      </x:c>
      <x:c r="E104" s="26" t="str">
        <x:f>IF(A104="","",INDEX('Veri Kumesi'!$C$5:$C$8,C104))</x:f>
      </x:c>
      <x:c r="F104" s="26" t="str">
        <x:f>IF(A104="","",INDEX('Veri Kumesi'!$D$5:$D$8,C104))</x:f>
      </x:c>
      <x:c r="G104" s="26" t="str">
        <x:f>IF(A104="","",P103)</x:f>
      </x:c>
      <x:c r="H104" s="26" t="str">
        <x:f>IF(A104="","",Q103)</x:f>
      </x:c>
      <x:c r="I104" s="26" t="str">
        <x:f>IF(A104="","",R103)</x:f>
      </x:c>
      <x:c r="J104" s="26" t="str">
        <x:f>IF(A104="","",G104*D104+H104*E104+I104)</x:f>
      </x:c>
      <x:c r="K104" s="26" t="str">
        <x:f>IF(A104="","",IF(J104&gt;=Parametreler!$B$11,1,-1))</x:f>
      </x:c>
      <x:c r="L104" s="26" t="str">
        <x:f>IF(A104="","",IF(K104=F104,0,1))</x:f>
      </x:c>
      <x:c r="M104" s="26" t="str">
        <x:f>IF(A104="","",Parametreler!$B$5*L104*F104*D104)</x:f>
      </x:c>
      <x:c r="N104" s="26" t="str">
        <x:f>IF(A104="","",Parametreler!$B$5*L104*F104*E104)</x:f>
      </x:c>
      <x:c r="O104" s="26" t="str">
        <x:f>IF(A104="","",Parametreler!$B$5*L104*F104)</x:f>
      </x:c>
      <x:c r="P104" s="26" t="str">
        <x:f>IF(A104="","",G104+M104)</x:f>
      </x:c>
      <x:c r="Q104" s="26" t="str">
        <x:f>IF(A104="","",H104+N104)</x:f>
      </x:c>
      <x:c r="R104" s="26" t="str">
        <x:f>IF(A104="","",I104+O104)</x:f>
      </x:c>
    </x:row>
    <x:row r="105" ht="20" customHeight="1">
      <x:c r="A105" t="str">
        <x:f>IF(101&lt;=Parametreler!$B$9*Parametreler!$B$10,101,"")</x:f>
      </x:c>
      <x:c r="B105" t="str">
        <x:f>IF(A105="","",INT((A105-1)/Parametreler!$B$10)+1)</x:f>
      </x:c>
      <x:c r="C105" t="str">
        <x:f>IF(A105="","",MOD(A105-1,Parametreler!$B$10)+1)</x:f>
      </x:c>
      <x:c r="D105" s="26" t="str">
        <x:f>IF(A105="","",INDEX('Veri Kumesi'!$B$5:$B$8,C105))</x:f>
      </x:c>
      <x:c r="E105" s="26" t="str">
        <x:f>IF(A105="","",INDEX('Veri Kumesi'!$C$5:$C$8,C105))</x:f>
      </x:c>
      <x:c r="F105" s="26" t="str">
        <x:f>IF(A105="","",INDEX('Veri Kumesi'!$D$5:$D$8,C105))</x:f>
      </x:c>
      <x:c r="G105" s="26" t="str">
        <x:f>IF(A105="","",P104)</x:f>
      </x:c>
      <x:c r="H105" s="26" t="str">
        <x:f>IF(A105="","",Q104)</x:f>
      </x:c>
      <x:c r="I105" s="26" t="str">
        <x:f>IF(A105="","",R104)</x:f>
      </x:c>
      <x:c r="J105" s="26" t="str">
        <x:f>IF(A105="","",G105*D105+H105*E105+I105)</x:f>
      </x:c>
      <x:c r="K105" s="26" t="str">
        <x:f>IF(A105="","",IF(J105&gt;=Parametreler!$B$11,1,-1))</x:f>
      </x:c>
      <x:c r="L105" s="26" t="str">
        <x:f>IF(A105="","",IF(K105=F105,0,1))</x:f>
      </x:c>
      <x:c r="M105" s="26" t="str">
        <x:f>IF(A105="","",Parametreler!$B$5*L105*F105*D105)</x:f>
      </x:c>
      <x:c r="N105" s="26" t="str">
        <x:f>IF(A105="","",Parametreler!$B$5*L105*F105*E105)</x:f>
      </x:c>
      <x:c r="O105" s="26" t="str">
        <x:f>IF(A105="","",Parametreler!$B$5*L105*F105)</x:f>
      </x:c>
      <x:c r="P105" s="26" t="str">
        <x:f>IF(A105="","",G105+M105)</x:f>
      </x:c>
      <x:c r="Q105" s="26" t="str">
        <x:f>IF(A105="","",H105+N105)</x:f>
      </x:c>
      <x:c r="R105" s="26" t="str">
        <x:f>IF(A105="","",I105+O105)</x:f>
      </x:c>
    </x:row>
    <x:row r="106" ht="20" customHeight="1">
      <x:c r="A106" t="str">
        <x:f>IF(102&lt;=Parametreler!$B$9*Parametreler!$B$10,102,"")</x:f>
      </x:c>
      <x:c r="B106" t="str">
        <x:f>IF(A106="","",INT((A106-1)/Parametreler!$B$10)+1)</x:f>
      </x:c>
      <x:c r="C106" t="str">
        <x:f>IF(A106="","",MOD(A106-1,Parametreler!$B$10)+1)</x:f>
      </x:c>
      <x:c r="D106" s="26" t="str">
        <x:f>IF(A106="","",INDEX('Veri Kumesi'!$B$5:$B$8,C106))</x:f>
      </x:c>
      <x:c r="E106" s="26" t="str">
        <x:f>IF(A106="","",INDEX('Veri Kumesi'!$C$5:$C$8,C106))</x:f>
      </x:c>
      <x:c r="F106" s="26" t="str">
        <x:f>IF(A106="","",INDEX('Veri Kumesi'!$D$5:$D$8,C106))</x:f>
      </x:c>
      <x:c r="G106" s="26" t="str">
        <x:f>IF(A106="","",P105)</x:f>
      </x:c>
      <x:c r="H106" s="26" t="str">
        <x:f>IF(A106="","",Q105)</x:f>
      </x:c>
      <x:c r="I106" s="26" t="str">
        <x:f>IF(A106="","",R105)</x:f>
      </x:c>
      <x:c r="J106" s="26" t="str">
        <x:f>IF(A106="","",G106*D106+H106*E106+I106)</x:f>
      </x:c>
      <x:c r="K106" s="26" t="str">
        <x:f>IF(A106="","",IF(J106&gt;=Parametreler!$B$11,1,-1))</x:f>
      </x:c>
      <x:c r="L106" s="26" t="str">
        <x:f>IF(A106="","",IF(K106=F106,0,1))</x:f>
      </x:c>
      <x:c r="M106" s="26" t="str">
        <x:f>IF(A106="","",Parametreler!$B$5*L106*F106*D106)</x:f>
      </x:c>
      <x:c r="N106" s="26" t="str">
        <x:f>IF(A106="","",Parametreler!$B$5*L106*F106*E106)</x:f>
      </x:c>
      <x:c r="O106" s="26" t="str">
        <x:f>IF(A106="","",Parametreler!$B$5*L106*F106)</x:f>
      </x:c>
      <x:c r="P106" s="26" t="str">
        <x:f>IF(A106="","",G106+M106)</x:f>
      </x:c>
      <x:c r="Q106" s="26" t="str">
        <x:f>IF(A106="","",H106+N106)</x:f>
      </x:c>
      <x:c r="R106" s="26" t="str">
        <x:f>IF(A106="","",I106+O106)</x:f>
      </x:c>
    </x:row>
    <x:row r="107" ht="20" customHeight="1">
      <x:c r="A107" t="str">
        <x:f>IF(103&lt;=Parametreler!$B$9*Parametreler!$B$10,103,"")</x:f>
      </x:c>
      <x:c r="B107" t="str">
        <x:f>IF(A107="","",INT((A107-1)/Parametreler!$B$10)+1)</x:f>
      </x:c>
      <x:c r="C107" t="str">
        <x:f>IF(A107="","",MOD(A107-1,Parametreler!$B$10)+1)</x:f>
      </x:c>
      <x:c r="D107" s="26" t="str">
        <x:f>IF(A107="","",INDEX('Veri Kumesi'!$B$5:$B$8,C107))</x:f>
      </x:c>
      <x:c r="E107" s="26" t="str">
        <x:f>IF(A107="","",INDEX('Veri Kumesi'!$C$5:$C$8,C107))</x:f>
      </x:c>
      <x:c r="F107" s="26" t="str">
        <x:f>IF(A107="","",INDEX('Veri Kumesi'!$D$5:$D$8,C107))</x:f>
      </x:c>
      <x:c r="G107" s="26" t="str">
        <x:f>IF(A107="","",P106)</x:f>
      </x:c>
      <x:c r="H107" s="26" t="str">
        <x:f>IF(A107="","",Q106)</x:f>
      </x:c>
      <x:c r="I107" s="26" t="str">
        <x:f>IF(A107="","",R106)</x:f>
      </x:c>
      <x:c r="J107" s="26" t="str">
        <x:f>IF(A107="","",G107*D107+H107*E107+I107)</x:f>
      </x:c>
      <x:c r="K107" s="26" t="str">
        <x:f>IF(A107="","",IF(J107&gt;=Parametreler!$B$11,1,-1))</x:f>
      </x:c>
      <x:c r="L107" s="26" t="str">
        <x:f>IF(A107="","",IF(K107=F107,0,1))</x:f>
      </x:c>
      <x:c r="M107" s="26" t="str">
        <x:f>IF(A107="","",Parametreler!$B$5*L107*F107*D107)</x:f>
      </x:c>
      <x:c r="N107" s="26" t="str">
        <x:f>IF(A107="","",Parametreler!$B$5*L107*F107*E107)</x:f>
      </x:c>
      <x:c r="O107" s="26" t="str">
        <x:f>IF(A107="","",Parametreler!$B$5*L107*F107)</x:f>
      </x:c>
      <x:c r="P107" s="26" t="str">
        <x:f>IF(A107="","",G107+M107)</x:f>
      </x:c>
      <x:c r="Q107" s="26" t="str">
        <x:f>IF(A107="","",H107+N107)</x:f>
      </x:c>
      <x:c r="R107" s="26" t="str">
        <x:f>IF(A107="","",I107+O107)</x:f>
      </x:c>
    </x:row>
    <x:row r="108" ht="20" customHeight="1">
      <x:c r="A108" t="str">
        <x:f>IF(104&lt;=Parametreler!$B$9*Parametreler!$B$10,104,"")</x:f>
      </x:c>
      <x:c r="B108" t="str">
        <x:f>IF(A108="","",INT((A108-1)/Parametreler!$B$10)+1)</x:f>
      </x:c>
      <x:c r="C108" t="str">
        <x:f>IF(A108="","",MOD(A108-1,Parametreler!$B$10)+1)</x:f>
      </x:c>
      <x:c r="D108" s="26" t="str">
        <x:f>IF(A108="","",INDEX('Veri Kumesi'!$B$5:$B$8,C108))</x:f>
      </x:c>
      <x:c r="E108" s="26" t="str">
        <x:f>IF(A108="","",INDEX('Veri Kumesi'!$C$5:$C$8,C108))</x:f>
      </x:c>
      <x:c r="F108" s="26" t="str">
        <x:f>IF(A108="","",INDEX('Veri Kumesi'!$D$5:$D$8,C108))</x:f>
      </x:c>
      <x:c r="G108" s="26" t="str">
        <x:f>IF(A108="","",P107)</x:f>
      </x:c>
      <x:c r="H108" s="26" t="str">
        <x:f>IF(A108="","",Q107)</x:f>
      </x:c>
      <x:c r="I108" s="26" t="str">
        <x:f>IF(A108="","",R107)</x:f>
      </x:c>
      <x:c r="J108" s="26" t="str">
        <x:f>IF(A108="","",G108*D108+H108*E108+I108)</x:f>
      </x:c>
      <x:c r="K108" s="26" t="str">
        <x:f>IF(A108="","",IF(J108&gt;=Parametreler!$B$11,1,-1))</x:f>
      </x:c>
      <x:c r="L108" s="26" t="str">
        <x:f>IF(A108="","",IF(K108=F108,0,1))</x:f>
      </x:c>
      <x:c r="M108" s="26" t="str">
        <x:f>IF(A108="","",Parametreler!$B$5*L108*F108*D108)</x:f>
      </x:c>
      <x:c r="N108" s="26" t="str">
        <x:f>IF(A108="","",Parametreler!$B$5*L108*F108*E108)</x:f>
      </x:c>
      <x:c r="O108" s="26" t="str">
        <x:f>IF(A108="","",Parametreler!$B$5*L108*F108)</x:f>
      </x:c>
      <x:c r="P108" s="26" t="str">
        <x:f>IF(A108="","",G108+M108)</x:f>
      </x:c>
      <x:c r="Q108" s="26" t="str">
        <x:f>IF(A108="","",H108+N108)</x:f>
      </x:c>
      <x:c r="R108" s="26" t="str">
        <x:f>IF(A108="","",I108+O108)</x:f>
      </x:c>
    </x:row>
    <x:row r="109" ht="20" customHeight="1">
      <x:c r="A109" t="str">
        <x:f>IF(105&lt;=Parametreler!$B$9*Parametreler!$B$10,105,"")</x:f>
      </x:c>
      <x:c r="B109" t="str">
        <x:f>IF(A109="","",INT((A109-1)/Parametreler!$B$10)+1)</x:f>
      </x:c>
      <x:c r="C109" t="str">
        <x:f>IF(A109="","",MOD(A109-1,Parametreler!$B$10)+1)</x:f>
      </x:c>
      <x:c r="D109" s="26" t="str">
        <x:f>IF(A109="","",INDEX('Veri Kumesi'!$B$5:$B$8,C109))</x:f>
      </x:c>
      <x:c r="E109" s="26" t="str">
        <x:f>IF(A109="","",INDEX('Veri Kumesi'!$C$5:$C$8,C109))</x:f>
      </x:c>
      <x:c r="F109" s="26" t="str">
        <x:f>IF(A109="","",INDEX('Veri Kumesi'!$D$5:$D$8,C109))</x:f>
      </x:c>
      <x:c r="G109" s="26" t="str">
        <x:f>IF(A109="","",P108)</x:f>
      </x:c>
      <x:c r="H109" s="26" t="str">
        <x:f>IF(A109="","",Q108)</x:f>
      </x:c>
      <x:c r="I109" s="26" t="str">
        <x:f>IF(A109="","",R108)</x:f>
      </x:c>
      <x:c r="J109" s="26" t="str">
        <x:f>IF(A109="","",G109*D109+H109*E109+I109)</x:f>
      </x:c>
      <x:c r="K109" s="26" t="str">
        <x:f>IF(A109="","",IF(J109&gt;=Parametreler!$B$11,1,-1))</x:f>
      </x:c>
      <x:c r="L109" s="26" t="str">
        <x:f>IF(A109="","",IF(K109=F109,0,1))</x:f>
      </x:c>
      <x:c r="M109" s="26" t="str">
        <x:f>IF(A109="","",Parametreler!$B$5*L109*F109*D109)</x:f>
      </x:c>
      <x:c r="N109" s="26" t="str">
        <x:f>IF(A109="","",Parametreler!$B$5*L109*F109*E109)</x:f>
      </x:c>
      <x:c r="O109" s="26" t="str">
        <x:f>IF(A109="","",Parametreler!$B$5*L109*F109)</x:f>
      </x:c>
      <x:c r="P109" s="26" t="str">
        <x:f>IF(A109="","",G109+M109)</x:f>
      </x:c>
      <x:c r="Q109" s="26" t="str">
        <x:f>IF(A109="","",H109+N109)</x:f>
      </x:c>
      <x:c r="R109" s="26" t="str">
        <x:f>IF(A109="","",I109+O109)</x:f>
      </x:c>
    </x:row>
    <x:row r="110" ht="20" customHeight="1">
      <x:c r="A110" t="str">
        <x:f>IF(106&lt;=Parametreler!$B$9*Parametreler!$B$10,106,"")</x:f>
      </x:c>
      <x:c r="B110" t="str">
        <x:f>IF(A110="","",INT((A110-1)/Parametreler!$B$10)+1)</x:f>
      </x:c>
      <x:c r="C110" t="str">
        <x:f>IF(A110="","",MOD(A110-1,Parametreler!$B$10)+1)</x:f>
      </x:c>
      <x:c r="D110" s="26" t="str">
        <x:f>IF(A110="","",INDEX('Veri Kumesi'!$B$5:$B$8,C110))</x:f>
      </x:c>
      <x:c r="E110" s="26" t="str">
        <x:f>IF(A110="","",INDEX('Veri Kumesi'!$C$5:$C$8,C110))</x:f>
      </x:c>
      <x:c r="F110" s="26" t="str">
        <x:f>IF(A110="","",INDEX('Veri Kumesi'!$D$5:$D$8,C110))</x:f>
      </x:c>
      <x:c r="G110" s="26" t="str">
        <x:f>IF(A110="","",P109)</x:f>
      </x:c>
      <x:c r="H110" s="26" t="str">
        <x:f>IF(A110="","",Q109)</x:f>
      </x:c>
      <x:c r="I110" s="26" t="str">
        <x:f>IF(A110="","",R109)</x:f>
      </x:c>
      <x:c r="J110" s="26" t="str">
        <x:f>IF(A110="","",G110*D110+H110*E110+I110)</x:f>
      </x:c>
      <x:c r="K110" s="26" t="str">
        <x:f>IF(A110="","",IF(J110&gt;=Parametreler!$B$11,1,-1))</x:f>
      </x:c>
      <x:c r="L110" s="26" t="str">
        <x:f>IF(A110="","",IF(K110=F110,0,1))</x:f>
      </x:c>
      <x:c r="M110" s="26" t="str">
        <x:f>IF(A110="","",Parametreler!$B$5*L110*F110*D110)</x:f>
      </x:c>
      <x:c r="N110" s="26" t="str">
        <x:f>IF(A110="","",Parametreler!$B$5*L110*F110*E110)</x:f>
      </x:c>
      <x:c r="O110" s="26" t="str">
        <x:f>IF(A110="","",Parametreler!$B$5*L110*F110)</x:f>
      </x:c>
      <x:c r="P110" s="26" t="str">
        <x:f>IF(A110="","",G110+M110)</x:f>
      </x:c>
      <x:c r="Q110" s="26" t="str">
        <x:f>IF(A110="","",H110+N110)</x:f>
      </x:c>
      <x:c r="R110" s="26" t="str">
        <x:f>IF(A110="","",I110+O110)</x:f>
      </x:c>
    </x:row>
    <x:row r="111" ht="20" customHeight="1">
      <x:c r="A111" t="str">
        <x:f>IF(107&lt;=Parametreler!$B$9*Parametreler!$B$10,107,"")</x:f>
      </x:c>
      <x:c r="B111" t="str">
        <x:f>IF(A111="","",INT((A111-1)/Parametreler!$B$10)+1)</x:f>
      </x:c>
      <x:c r="C111" t="str">
        <x:f>IF(A111="","",MOD(A111-1,Parametreler!$B$10)+1)</x:f>
      </x:c>
      <x:c r="D111" s="26" t="str">
        <x:f>IF(A111="","",INDEX('Veri Kumesi'!$B$5:$B$8,C111))</x:f>
      </x:c>
      <x:c r="E111" s="26" t="str">
        <x:f>IF(A111="","",INDEX('Veri Kumesi'!$C$5:$C$8,C111))</x:f>
      </x:c>
      <x:c r="F111" s="26" t="str">
        <x:f>IF(A111="","",INDEX('Veri Kumesi'!$D$5:$D$8,C111))</x:f>
      </x:c>
      <x:c r="G111" s="26" t="str">
        <x:f>IF(A111="","",P110)</x:f>
      </x:c>
      <x:c r="H111" s="26" t="str">
        <x:f>IF(A111="","",Q110)</x:f>
      </x:c>
      <x:c r="I111" s="26" t="str">
        <x:f>IF(A111="","",R110)</x:f>
      </x:c>
      <x:c r="J111" s="26" t="str">
        <x:f>IF(A111="","",G111*D111+H111*E111+I111)</x:f>
      </x:c>
      <x:c r="K111" s="26" t="str">
        <x:f>IF(A111="","",IF(J111&gt;=Parametreler!$B$11,1,-1))</x:f>
      </x:c>
      <x:c r="L111" s="26" t="str">
        <x:f>IF(A111="","",IF(K111=F111,0,1))</x:f>
      </x:c>
      <x:c r="M111" s="26" t="str">
        <x:f>IF(A111="","",Parametreler!$B$5*L111*F111*D111)</x:f>
      </x:c>
      <x:c r="N111" s="26" t="str">
        <x:f>IF(A111="","",Parametreler!$B$5*L111*F111*E111)</x:f>
      </x:c>
      <x:c r="O111" s="26" t="str">
        <x:f>IF(A111="","",Parametreler!$B$5*L111*F111)</x:f>
      </x:c>
      <x:c r="P111" s="26" t="str">
        <x:f>IF(A111="","",G111+M111)</x:f>
      </x:c>
      <x:c r="Q111" s="26" t="str">
        <x:f>IF(A111="","",H111+N111)</x:f>
      </x:c>
      <x:c r="R111" s="26" t="str">
        <x:f>IF(A111="","",I111+O111)</x:f>
      </x:c>
    </x:row>
    <x:row r="112" ht="20" customHeight="1">
      <x:c r="A112" t="str">
        <x:f>IF(108&lt;=Parametreler!$B$9*Parametreler!$B$10,108,"")</x:f>
      </x:c>
      <x:c r="B112" t="str">
        <x:f>IF(A112="","",INT((A112-1)/Parametreler!$B$10)+1)</x:f>
      </x:c>
      <x:c r="C112" t="str">
        <x:f>IF(A112="","",MOD(A112-1,Parametreler!$B$10)+1)</x:f>
      </x:c>
      <x:c r="D112" s="26" t="str">
        <x:f>IF(A112="","",INDEX('Veri Kumesi'!$B$5:$B$8,C112))</x:f>
      </x:c>
      <x:c r="E112" s="26" t="str">
        <x:f>IF(A112="","",INDEX('Veri Kumesi'!$C$5:$C$8,C112))</x:f>
      </x:c>
      <x:c r="F112" s="26" t="str">
        <x:f>IF(A112="","",INDEX('Veri Kumesi'!$D$5:$D$8,C112))</x:f>
      </x:c>
      <x:c r="G112" s="26" t="str">
        <x:f>IF(A112="","",P111)</x:f>
      </x:c>
      <x:c r="H112" s="26" t="str">
        <x:f>IF(A112="","",Q111)</x:f>
      </x:c>
      <x:c r="I112" s="26" t="str">
        <x:f>IF(A112="","",R111)</x:f>
      </x:c>
      <x:c r="J112" s="26" t="str">
        <x:f>IF(A112="","",G112*D112+H112*E112+I112)</x:f>
      </x:c>
      <x:c r="K112" s="26" t="str">
        <x:f>IF(A112="","",IF(J112&gt;=Parametreler!$B$11,1,-1))</x:f>
      </x:c>
      <x:c r="L112" s="26" t="str">
        <x:f>IF(A112="","",IF(K112=F112,0,1))</x:f>
      </x:c>
      <x:c r="M112" s="26" t="str">
        <x:f>IF(A112="","",Parametreler!$B$5*L112*F112*D112)</x:f>
      </x:c>
      <x:c r="N112" s="26" t="str">
        <x:f>IF(A112="","",Parametreler!$B$5*L112*F112*E112)</x:f>
      </x:c>
      <x:c r="O112" s="26" t="str">
        <x:f>IF(A112="","",Parametreler!$B$5*L112*F112)</x:f>
      </x:c>
      <x:c r="P112" s="26" t="str">
        <x:f>IF(A112="","",G112+M112)</x:f>
      </x:c>
      <x:c r="Q112" s="26" t="str">
        <x:f>IF(A112="","",H112+N112)</x:f>
      </x:c>
      <x:c r="R112" s="26" t="str">
        <x:f>IF(A112="","",I112+O112)</x:f>
      </x:c>
    </x:row>
    <x:row r="113" ht="20" customHeight="1">
      <x:c r="A113" t="str">
        <x:f>IF(109&lt;=Parametreler!$B$9*Parametreler!$B$10,109,"")</x:f>
      </x:c>
      <x:c r="B113" t="str">
        <x:f>IF(A113="","",INT((A113-1)/Parametreler!$B$10)+1)</x:f>
      </x:c>
      <x:c r="C113" t="str">
        <x:f>IF(A113="","",MOD(A113-1,Parametreler!$B$10)+1)</x:f>
      </x:c>
      <x:c r="D113" s="26" t="str">
        <x:f>IF(A113="","",INDEX('Veri Kumesi'!$B$5:$B$8,C113))</x:f>
      </x:c>
      <x:c r="E113" s="26" t="str">
        <x:f>IF(A113="","",INDEX('Veri Kumesi'!$C$5:$C$8,C113))</x:f>
      </x:c>
      <x:c r="F113" s="26" t="str">
        <x:f>IF(A113="","",INDEX('Veri Kumesi'!$D$5:$D$8,C113))</x:f>
      </x:c>
      <x:c r="G113" s="26" t="str">
        <x:f>IF(A113="","",P112)</x:f>
      </x:c>
      <x:c r="H113" s="26" t="str">
        <x:f>IF(A113="","",Q112)</x:f>
      </x:c>
      <x:c r="I113" s="26" t="str">
        <x:f>IF(A113="","",R112)</x:f>
      </x:c>
      <x:c r="J113" s="26" t="str">
        <x:f>IF(A113="","",G113*D113+H113*E113+I113)</x:f>
      </x:c>
      <x:c r="K113" s="26" t="str">
        <x:f>IF(A113="","",IF(J113&gt;=Parametreler!$B$11,1,-1))</x:f>
      </x:c>
      <x:c r="L113" s="26" t="str">
        <x:f>IF(A113="","",IF(K113=F113,0,1))</x:f>
      </x:c>
      <x:c r="M113" s="26" t="str">
        <x:f>IF(A113="","",Parametreler!$B$5*L113*F113*D113)</x:f>
      </x:c>
      <x:c r="N113" s="26" t="str">
        <x:f>IF(A113="","",Parametreler!$B$5*L113*F113*E113)</x:f>
      </x:c>
      <x:c r="O113" s="26" t="str">
        <x:f>IF(A113="","",Parametreler!$B$5*L113*F113)</x:f>
      </x:c>
      <x:c r="P113" s="26" t="str">
        <x:f>IF(A113="","",G113+M113)</x:f>
      </x:c>
      <x:c r="Q113" s="26" t="str">
        <x:f>IF(A113="","",H113+N113)</x:f>
      </x:c>
      <x:c r="R113" s="26" t="str">
        <x:f>IF(A113="","",I113+O113)</x:f>
      </x:c>
    </x:row>
    <x:row r="114" ht="20" customHeight="1">
      <x:c r="A114" t="str">
        <x:f>IF(110&lt;=Parametreler!$B$9*Parametreler!$B$10,110,"")</x:f>
      </x:c>
      <x:c r="B114" t="str">
        <x:f>IF(A114="","",INT((A114-1)/Parametreler!$B$10)+1)</x:f>
      </x:c>
      <x:c r="C114" t="str">
        <x:f>IF(A114="","",MOD(A114-1,Parametreler!$B$10)+1)</x:f>
      </x:c>
      <x:c r="D114" s="26" t="str">
        <x:f>IF(A114="","",INDEX('Veri Kumesi'!$B$5:$B$8,C114))</x:f>
      </x:c>
      <x:c r="E114" s="26" t="str">
        <x:f>IF(A114="","",INDEX('Veri Kumesi'!$C$5:$C$8,C114))</x:f>
      </x:c>
      <x:c r="F114" s="26" t="str">
        <x:f>IF(A114="","",INDEX('Veri Kumesi'!$D$5:$D$8,C114))</x:f>
      </x:c>
      <x:c r="G114" s="26" t="str">
        <x:f>IF(A114="","",P113)</x:f>
      </x:c>
      <x:c r="H114" s="26" t="str">
        <x:f>IF(A114="","",Q113)</x:f>
      </x:c>
      <x:c r="I114" s="26" t="str">
        <x:f>IF(A114="","",R113)</x:f>
      </x:c>
      <x:c r="J114" s="26" t="str">
        <x:f>IF(A114="","",G114*D114+H114*E114+I114)</x:f>
      </x:c>
      <x:c r="K114" s="26" t="str">
        <x:f>IF(A114="","",IF(J114&gt;=Parametreler!$B$11,1,-1))</x:f>
      </x:c>
      <x:c r="L114" s="26" t="str">
        <x:f>IF(A114="","",IF(K114=F114,0,1))</x:f>
      </x:c>
      <x:c r="M114" s="26" t="str">
        <x:f>IF(A114="","",Parametreler!$B$5*L114*F114*D114)</x:f>
      </x:c>
      <x:c r="N114" s="26" t="str">
        <x:f>IF(A114="","",Parametreler!$B$5*L114*F114*E114)</x:f>
      </x:c>
      <x:c r="O114" s="26" t="str">
        <x:f>IF(A114="","",Parametreler!$B$5*L114*F114)</x:f>
      </x:c>
      <x:c r="P114" s="26" t="str">
        <x:f>IF(A114="","",G114+M114)</x:f>
      </x:c>
      <x:c r="Q114" s="26" t="str">
        <x:f>IF(A114="","",H114+N114)</x:f>
      </x:c>
      <x:c r="R114" s="26" t="str">
        <x:f>IF(A114="","",I114+O114)</x:f>
      </x:c>
    </x:row>
    <x:row r="115" ht="20" customHeight="1">
      <x:c r="A115" t="str">
        <x:f>IF(111&lt;=Parametreler!$B$9*Parametreler!$B$10,111,"")</x:f>
      </x:c>
      <x:c r="B115" t="str">
        <x:f>IF(A115="","",INT((A115-1)/Parametreler!$B$10)+1)</x:f>
      </x:c>
      <x:c r="C115" t="str">
        <x:f>IF(A115="","",MOD(A115-1,Parametreler!$B$10)+1)</x:f>
      </x:c>
      <x:c r="D115" s="26" t="str">
        <x:f>IF(A115="","",INDEX('Veri Kumesi'!$B$5:$B$8,C115))</x:f>
      </x:c>
      <x:c r="E115" s="26" t="str">
        <x:f>IF(A115="","",INDEX('Veri Kumesi'!$C$5:$C$8,C115))</x:f>
      </x:c>
      <x:c r="F115" s="26" t="str">
        <x:f>IF(A115="","",INDEX('Veri Kumesi'!$D$5:$D$8,C115))</x:f>
      </x:c>
      <x:c r="G115" s="26" t="str">
        <x:f>IF(A115="","",P114)</x:f>
      </x:c>
      <x:c r="H115" s="26" t="str">
        <x:f>IF(A115="","",Q114)</x:f>
      </x:c>
      <x:c r="I115" s="26" t="str">
        <x:f>IF(A115="","",R114)</x:f>
      </x:c>
      <x:c r="J115" s="26" t="str">
        <x:f>IF(A115="","",G115*D115+H115*E115+I115)</x:f>
      </x:c>
      <x:c r="K115" s="26" t="str">
        <x:f>IF(A115="","",IF(J115&gt;=Parametreler!$B$11,1,-1))</x:f>
      </x:c>
      <x:c r="L115" s="26" t="str">
        <x:f>IF(A115="","",IF(K115=F115,0,1))</x:f>
      </x:c>
      <x:c r="M115" s="26" t="str">
        <x:f>IF(A115="","",Parametreler!$B$5*L115*F115*D115)</x:f>
      </x:c>
      <x:c r="N115" s="26" t="str">
        <x:f>IF(A115="","",Parametreler!$B$5*L115*F115*E115)</x:f>
      </x:c>
      <x:c r="O115" s="26" t="str">
        <x:f>IF(A115="","",Parametreler!$B$5*L115*F115)</x:f>
      </x:c>
      <x:c r="P115" s="26" t="str">
        <x:f>IF(A115="","",G115+M115)</x:f>
      </x:c>
      <x:c r="Q115" s="26" t="str">
        <x:f>IF(A115="","",H115+N115)</x:f>
      </x:c>
      <x:c r="R115" s="26" t="str">
        <x:f>IF(A115="","",I115+O115)</x:f>
      </x:c>
    </x:row>
    <x:row r="116" ht="20" customHeight="1">
      <x:c r="A116" t="str">
        <x:f>IF(112&lt;=Parametreler!$B$9*Parametreler!$B$10,112,"")</x:f>
      </x:c>
      <x:c r="B116" t="str">
        <x:f>IF(A116="","",INT((A116-1)/Parametreler!$B$10)+1)</x:f>
      </x:c>
      <x:c r="C116" t="str">
        <x:f>IF(A116="","",MOD(A116-1,Parametreler!$B$10)+1)</x:f>
      </x:c>
      <x:c r="D116" s="26" t="str">
        <x:f>IF(A116="","",INDEX('Veri Kumesi'!$B$5:$B$8,C116))</x:f>
      </x:c>
      <x:c r="E116" s="26" t="str">
        <x:f>IF(A116="","",INDEX('Veri Kumesi'!$C$5:$C$8,C116))</x:f>
      </x:c>
      <x:c r="F116" s="26" t="str">
        <x:f>IF(A116="","",INDEX('Veri Kumesi'!$D$5:$D$8,C116))</x:f>
      </x:c>
      <x:c r="G116" s="26" t="str">
        <x:f>IF(A116="","",P115)</x:f>
      </x:c>
      <x:c r="H116" s="26" t="str">
        <x:f>IF(A116="","",Q115)</x:f>
      </x:c>
      <x:c r="I116" s="26" t="str">
        <x:f>IF(A116="","",R115)</x:f>
      </x:c>
      <x:c r="J116" s="26" t="str">
        <x:f>IF(A116="","",G116*D116+H116*E116+I116)</x:f>
      </x:c>
      <x:c r="K116" s="26" t="str">
        <x:f>IF(A116="","",IF(J116&gt;=Parametreler!$B$11,1,-1))</x:f>
      </x:c>
      <x:c r="L116" s="26" t="str">
        <x:f>IF(A116="","",IF(K116=F116,0,1))</x:f>
      </x:c>
      <x:c r="M116" s="26" t="str">
        <x:f>IF(A116="","",Parametreler!$B$5*L116*F116*D116)</x:f>
      </x:c>
      <x:c r="N116" s="26" t="str">
        <x:f>IF(A116="","",Parametreler!$B$5*L116*F116*E116)</x:f>
      </x:c>
      <x:c r="O116" s="26" t="str">
        <x:f>IF(A116="","",Parametreler!$B$5*L116*F116)</x:f>
      </x:c>
      <x:c r="P116" s="26" t="str">
        <x:f>IF(A116="","",G116+M116)</x:f>
      </x:c>
      <x:c r="Q116" s="26" t="str">
        <x:f>IF(A116="","",H116+N116)</x:f>
      </x:c>
      <x:c r="R116" s="26" t="str">
        <x:f>IF(A116="","",I116+O116)</x:f>
      </x:c>
    </x:row>
    <x:row r="117" ht="20" customHeight="1">
      <x:c r="A117" t="str">
        <x:f>IF(113&lt;=Parametreler!$B$9*Parametreler!$B$10,113,"")</x:f>
      </x:c>
      <x:c r="B117" t="str">
        <x:f>IF(A117="","",INT((A117-1)/Parametreler!$B$10)+1)</x:f>
      </x:c>
      <x:c r="C117" t="str">
        <x:f>IF(A117="","",MOD(A117-1,Parametreler!$B$10)+1)</x:f>
      </x:c>
      <x:c r="D117" s="26" t="str">
        <x:f>IF(A117="","",INDEX('Veri Kumesi'!$B$5:$B$8,C117))</x:f>
      </x:c>
      <x:c r="E117" s="26" t="str">
        <x:f>IF(A117="","",INDEX('Veri Kumesi'!$C$5:$C$8,C117))</x:f>
      </x:c>
      <x:c r="F117" s="26" t="str">
        <x:f>IF(A117="","",INDEX('Veri Kumesi'!$D$5:$D$8,C117))</x:f>
      </x:c>
      <x:c r="G117" s="26" t="str">
        <x:f>IF(A117="","",P116)</x:f>
      </x:c>
      <x:c r="H117" s="26" t="str">
        <x:f>IF(A117="","",Q116)</x:f>
      </x:c>
      <x:c r="I117" s="26" t="str">
        <x:f>IF(A117="","",R116)</x:f>
      </x:c>
      <x:c r="J117" s="26" t="str">
        <x:f>IF(A117="","",G117*D117+H117*E117+I117)</x:f>
      </x:c>
      <x:c r="K117" s="26" t="str">
        <x:f>IF(A117="","",IF(J117&gt;=Parametreler!$B$11,1,-1))</x:f>
      </x:c>
      <x:c r="L117" s="26" t="str">
        <x:f>IF(A117="","",IF(K117=F117,0,1))</x:f>
      </x:c>
      <x:c r="M117" s="26" t="str">
        <x:f>IF(A117="","",Parametreler!$B$5*L117*F117*D117)</x:f>
      </x:c>
      <x:c r="N117" s="26" t="str">
        <x:f>IF(A117="","",Parametreler!$B$5*L117*F117*E117)</x:f>
      </x:c>
      <x:c r="O117" s="26" t="str">
        <x:f>IF(A117="","",Parametreler!$B$5*L117*F117)</x:f>
      </x:c>
      <x:c r="P117" s="26" t="str">
        <x:f>IF(A117="","",G117+M117)</x:f>
      </x:c>
      <x:c r="Q117" s="26" t="str">
        <x:f>IF(A117="","",H117+N117)</x:f>
      </x:c>
      <x:c r="R117" s="26" t="str">
        <x:f>IF(A117="","",I117+O117)</x:f>
      </x:c>
    </x:row>
    <x:row r="118" ht="20" customHeight="1">
      <x:c r="A118" t="str">
        <x:f>IF(114&lt;=Parametreler!$B$9*Parametreler!$B$10,114,"")</x:f>
      </x:c>
      <x:c r="B118" t="str">
        <x:f>IF(A118="","",INT((A118-1)/Parametreler!$B$10)+1)</x:f>
      </x:c>
      <x:c r="C118" t="str">
        <x:f>IF(A118="","",MOD(A118-1,Parametreler!$B$10)+1)</x:f>
      </x:c>
      <x:c r="D118" s="26" t="str">
        <x:f>IF(A118="","",INDEX('Veri Kumesi'!$B$5:$B$8,C118))</x:f>
      </x:c>
      <x:c r="E118" s="26" t="str">
        <x:f>IF(A118="","",INDEX('Veri Kumesi'!$C$5:$C$8,C118))</x:f>
      </x:c>
      <x:c r="F118" s="26" t="str">
        <x:f>IF(A118="","",INDEX('Veri Kumesi'!$D$5:$D$8,C118))</x:f>
      </x:c>
      <x:c r="G118" s="26" t="str">
        <x:f>IF(A118="","",P117)</x:f>
      </x:c>
      <x:c r="H118" s="26" t="str">
        <x:f>IF(A118="","",Q117)</x:f>
      </x:c>
      <x:c r="I118" s="26" t="str">
        <x:f>IF(A118="","",R117)</x:f>
      </x:c>
      <x:c r="J118" s="26" t="str">
        <x:f>IF(A118="","",G118*D118+H118*E118+I118)</x:f>
      </x:c>
      <x:c r="K118" s="26" t="str">
        <x:f>IF(A118="","",IF(J118&gt;=Parametreler!$B$11,1,-1))</x:f>
      </x:c>
      <x:c r="L118" s="26" t="str">
        <x:f>IF(A118="","",IF(K118=F118,0,1))</x:f>
      </x:c>
      <x:c r="M118" s="26" t="str">
        <x:f>IF(A118="","",Parametreler!$B$5*L118*F118*D118)</x:f>
      </x:c>
      <x:c r="N118" s="26" t="str">
        <x:f>IF(A118="","",Parametreler!$B$5*L118*F118*E118)</x:f>
      </x:c>
      <x:c r="O118" s="26" t="str">
        <x:f>IF(A118="","",Parametreler!$B$5*L118*F118)</x:f>
      </x:c>
      <x:c r="P118" s="26" t="str">
        <x:f>IF(A118="","",G118+M118)</x:f>
      </x:c>
      <x:c r="Q118" s="26" t="str">
        <x:f>IF(A118="","",H118+N118)</x:f>
      </x:c>
      <x:c r="R118" s="26" t="str">
        <x:f>IF(A118="","",I118+O118)</x:f>
      </x:c>
    </x:row>
    <x:row r="119" ht="20" customHeight="1">
      <x:c r="A119" t="str">
        <x:f>IF(115&lt;=Parametreler!$B$9*Parametreler!$B$10,115,"")</x:f>
      </x:c>
      <x:c r="B119" t="str">
        <x:f>IF(A119="","",INT((A119-1)/Parametreler!$B$10)+1)</x:f>
      </x:c>
      <x:c r="C119" t="str">
        <x:f>IF(A119="","",MOD(A119-1,Parametreler!$B$10)+1)</x:f>
      </x:c>
      <x:c r="D119" s="26" t="str">
        <x:f>IF(A119="","",INDEX('Veri Kumesi'!$B$5:$B$8,C119))</x:f>
      </x:c>
      <x:c r="E119" s="26" t="str">
        <x:f>IF(A119="","",INDEX('Veri Kumesi'!$C$5:$C$8,C119))</x:f>
      </x:c>
      <x:c r="F119" s="26" t="str">
        <x:f>IF(A119="","",INDEX('Veri Kumesi'!$D$5:$D$8,C119))</x:f>
      </x:c>
      <x:c r="G119" s="26" t="str">
        <x:f>IF(A119="","",P118)</x:f>
      </x:c>
      <x:c r="H119" s="26" t="str">
        <x:f>IF(A119="","",Q118)</x:f>
      </x:c>
      <x:c r="I119" s="26" t="str">
        <x:f>IF(A119="","",R118)</x:f>
      </x:c>
      <x:c r="J119" s="26" t="str">
        <x:f>IF(A119="","",G119*D119+H119*E119+I119)</x:f>
      </x:c>
      <x:c r="K119" s="26" t="str">
        <x:f>IF(A119="","",IF(J119&gt;=Parametreler!$B$11,1,-1))</x:f>
      </x:c>
      <x:c r="L119" s="26" t="str">
        <x:f>IF(A119="","",IF(K119=F119,0,1))</x:f>
      </x:c>
      <x:c r="M119" s="26" t="str">
        <x:f>IF(A119="","",Parametreler!$B$5*L119*F119*D119)</x:f>
      </x:c>
      <x:c r="N119" s="26" t="str">
        <x:f>IF(A119="","",Parametreler!$B$5*L119*F119*E119)</x:f>
      </x:c>
      <x:c r="O119" s="26" t="str">
        <x:f>IF(A119="","",Parametreler!$B$5*L119*F119)</x:f>
      </x:c>
      <x:c r="P119" s="26" t="str">
        <x:f>IF(A119="","",G119+M119)</x:f>
      </x:c>
      <x:c r="Q119" s="26" t="str">
        <x:f>IF(A119="","",H119+N119)</x:f>
      </x:c>
      <x:c r="R119" s="26" t="str">
        <x:f>IF(A119="","",I119+O119)</x:f>
      </x:c>
    </x:row>
    <x:row r="120" ht="20" customHeight="1">
      <x:c r="A120" t="str">
        <x:f>IF(116&lt;=Parametreler!$B$9*Parametreler!$B$10,116,"")</x:f>
      </x:c>
      <x:c r="B120" t="str">
        <x:f>IF(A120="","",INT((A120-1)/Parametreler!$B$10)+1)</x:f>
      </x:c>
      <x:c r="C120" t="str">
        <x:f>IF(A120="","",MOD(A120-1,Parametreler!$B$10)+1)</x:f>
      </x:c>
      <x:c r="D120" s="26" t="str">
        <x:f>IF(A120="","",INDEX('Veri Kumesi'!$B$5:$B$8,C120))</x:f>
      </x:c>
      <x:c r="E120" s="26" t="str">
        <x:f>IF(A120="","",INDEX('Veri Kumesi'!$C$5:$C$8,C120))</x:f>
      </x:c>
      <x:c r="F120" s="26" t="str">
        <x:f>IF(A120="","",INDEX('Veri Kumesi'!$D$5:$D$8,C120))</x:f>
      </x:c>
      <x:c r="G120" s="26" t="str">
        <x:f>IF(A120="","",P119)</x:f>
      </x:c>
      <x:c r="H120" s="26" t="str">
        <x:f>IF(A120="","",Q119)</x:f>
      </x:c>
      <x:c r="I120" s="26" t="str">
        <x:f>IF(A120="","",R119)</x:f>
      </x:c>
      <x:c r="J120" s="26" t="str">
        <x:f>IF(A120="","",G120*D120+H120*E120+I120)</x:f>
      </x:c>
      <x:c r="K120" s="26" t="str">
        <x:f>IF(A120="","",IF(J120&gt;=Parametreler!$B$11,1,-1))</x:f>
      </x:c>
      <x:c r="L120" s="26" t="str">
        <x:f>IF(A120="","",IF(K120=F120,0,1))</x:f>
      </x:c>
      <x:c r="M120" s="26" t="str">
        <x:f>IF(A120="","",Parametreler!$B$5*L120*F120*D120)</x:f>
      </x:c>
      <x:c r="N120" s="26" t="str">
        <x:f>IF(A120="","",Parametreler!$B$5*L120*F120*E120)</x:f>
      </x:c>
      <x:c r="O120" s="26" t="str">
        <x:f>IF(A120="","",Parametreler!$B$5*L120*F120)</x:f>
      </x:c>
      <x:c r="P120" s="26" t="str">
        <x:f>IF(A120="","",G120+M120)</x:f>
      </x:c>
      <x:c r="Q120" s="26" t="str">
        <x:f>IF(A120="","",H120+N120)</x:f>
      </x:c>
      <x:c r="R120" s="26" t="str">
        <x:f>IF(A120="","",I120+O120)</x:f>
      </x:c>
    </x:row>
    <x:row r="121" ht="20" customHeight="1">
      <x:c r="A121" t="str">
        <x:f>IF(117&lt;=Parametreler!$B$9*Parametreler!$B$10,117,"")</x:f>
      </x:c>
      <x:c r="B121" t="str">
        <x:f>IF(A121="","",INT((A121-1)/Parametreler!$B$10)+1)</x:f>
      </x:c>
      <x:c r="C121" t="str">
        <x:f>IF(A121="","",MOD(A121-1,Parametreler!$B$10)+1)</x:f>
      </x:c>
      <x:c r="D121" s="26" t="str">
        <x:f>IF(A121="","",INDEX('Veri Kumesi'!$B$5:$B$8,C121))</x:f>
      </x:c>
      <x:c r="E121" s="26" t="str">
        <x:f>IF(A121="","",INDEX('Veri Kumesi'!$C$5:$C$8,C121))</x:f>
      </x:c>
      <x:c r="F121" s="26" t="str">
        <x:f>IF(A121="","",INDEX('Veri Kumesi'!$D$5:$D$8,C121))</x:f>
      </x:c>
      <x:c r="G121" s="26" t="str">
        <x:f>IF(A121="","",P120)</x:f>
      </x:c>
      <x:c r="H121" s="26" t="str">
        <x:f>IF(A121="","",Q120)</x:f>
      </x:c>
      <x:c r="I121" s="26" t="str">
        <x:f>IF(A121="","",R120)</x:f>
      </x:c>
      <x:c r="J121" s="26" t="str">
        <x:f>IF(A121="","",G121*D121+H121*E121+I121)</x:f>
      </x:c>
      <x:c r="K121" s="26" t="str">
        <x:f>IF(A121="","",IF(J121&gt;=Parametreler!$B$11,1,-1))</x:f>
      </x:c>
      <x:c r="L121" s="26" t="str">
        <x:f>IF(A121="","",IF(K121=F121,0,1))</x:f>
      </x:c>
      <x:c r="M121" s="26" t="str">
        <x:f>IF(A121="","",Parametreler!$B$5*L121*F121*D121)</x:f>
      </x:c>
      <x:c r="N121" s="26" t="str">
        <x:f>IF(A121="","",Parametreler!$B$5*L121*F121*E121)</x:f>
      </x:c>
      <x:c r="O121" s="26" t="str">
        <x:f>IF(A121="","",Parametreler!$B$5*L121*F121)</x:f>
      </x:c>
      <x:c r="P121" s="26" t="str">
        <x:f>IF(A121="","",G121+M121)</x:f>
      </x:c>
      <x:c r="Q121" s="26" t="str">
        <x:f>IF(A121="","",H121+N121)</x:f>
      </x:c>
      <x:c r="R121" s="26" t="str">
        <x:f>IF(A121="","",I121+O121)</x:f>
      </x:c>
    </x:row>
    <x:row r="122" ht="20" customHeight="1">
      <x:c r="A122" t="str">
        <x:f>IF(118&lt;=Parametreler!$B$9*Parametreler!$B$10,118,"")</x:f>
      </x:c>
      <x:c r="B122" t="str">
        <x:f>IF(A122="","",INT((A122-1)/Parametreler!$B$10)+1)</x:f>
      </x:c>
      <x:c r="C122" t="str">
        <x:f>IF(A122="","",MOD(A122-1,Parametreler!$B$10)+1)</x:f>
      </x:c>
      <x:c r="D122" s="26" t="str">
        <x:f>IF(A122="","",INDEX('Veri Kumesi'!$B$5:$B$8,C122))</x:f>
      </x:c>
      <x:c r="E122" s="26" t="str">
        <x:f>IF(A122="","",INDEX('Veri Kumesi'!$C$5:$C$8,C122))</x:f>
      </x:c>
      <x:c r="F122" s="26" t="str">
        <x:f>IF(A122="","",INDEX('Veri Kumesi'!$D$5:$D$8,C122))</x:f>
      </x:c>
      <x:c r="G122" s="26" t="str">
        <x:f>IF(A122="","",P121)</x:f>
      </x:c>
      <x:c r="H122" s="26" t="str">
        <x:f>IF(A122="","",Q121)</x:f>
      </x:c>
      <x:c r="I122" s="26" t="str">
        <x:f>IF(A122="","",R121)</x:f>
      </x:c>
      <x:c r="J122" s="26" t="str">
        <x:f>IF(A122="","",G122*D122+H122*E122+I122)</x:f>
      </x:c>
      <x:c r="K122" s="26" t="str">
        <x:f>IF(A122="","",IF(J122&gt;=Parametreler!$B$11,1,-1))</x:f>
      </x:c>
      <x:c r="L122" s="26" t="str">
        <x:f>IF(A122="","",IF(K122=F122,0,1))</x:f>
      </x:c>
      <x:c r="M122" s="26" t="str">
        <x:f>IF(A122="","",Parametreler!$B$5*L122*F122*D122)</x:f>
      </x:c>
      <x:c r="N122" s="26" t="str">
        <x:f>IF(A122="","",Parametreler!$B$5*L122*F122*E122)</x:f>
      </x:c>
      <x:c r="O122" s="26" t="str">
        <x:f>IF(A122="","",Parametreler!$B$5*L122*F122)</x:f>
      </x:c>
      <x:c r="P122" s="26" t="str">
        <x:f>IF(A122="","",G122+M122)</x:f>
      </x:c>
      <x:c r="Q122" s="26" t="str">
        <x:f>IF(A122="","",H122+N122)</x:f>
      </x:c>
      <x:c r="R122" s="26" t="str">
        <x:f>IF(A122="","",I122+O122)</x:f>
      </x:c>
    </x:row>
    <x:row r="123" ht="20" customHeight="1">
      <x:c r="A123" t="str">
        <x:f>IF(119&lt;=Parametreler!$B$9*Parametreler!$B$10,119,"")</x:f>
      </x:c>
      <x:c r="B123" t="str">
        <x:f>IF(A123="","",INT((A123-1)/Parametreler!$B$10)+1)</x:f>
      </x:c>
      <x:c r="C123" t="str">
        <x:f>IF(A123="","",MOD(A123-1,Parametreler!$B$10)+1)</x:f>
      </x:c>
      <x:c r="D123" s="26" t="str">
        <x:f>IF(A123="","",INDEX('Veri Kumesi'!$B$5:$B$8,C123))</x:f>
      </x:c>
      <x:c r="E123" s="26" t="str">
        <x:f>IF(A123="","",INDEX('Veri Kumesi'!$C$5:$C$8,C123))</x:f>
      </x:c>
      <x:c r="F123" s="26" t="str">
        <x:f>IF(A123="","",INDEX('Veri Kumesi'!$D$5:$D$8,C123))</x:f>
      </x:c>
      <x:c r="G123" s="26" t="str">
        <x:f>IF(A123="","",P122)</x:f>
      </x:c>
      <x:c r="H123" s="26" t="str">
        <x:f>IF(A123="","",Q122)</x:f>
      </x:c>
      <x:c r="I123" s="26" t="str">
        <x:f>IF(A123="","",R122)</x:f>
      </x:c>
      <x:c r="J123" s="26" t="str">
        <x:f>IF(A123="","",G123*D123+H123*E123+I123)</x:f>
      </x:c>
      <x:c r="K123" s="26" t="str">
        <x:f>IF(A123="","",IF(J123&gt;=Parametreler!$B$11,1,-1))</x:f>
      </x:c>
      <x:c r="L123" s="26" t="str">
        <x:f>IF(A123="","",IF(K123=F123,0,1))</x:f>
      </x:c>
      <x:c r="M123" s="26" t="str">
        <x:f>IF(A123="","",Parametreler!$B$5*L123*F123*D123)</x:f>
      </x:c>
      <x:c r="N123" s="26" t="str">
        <x:f>IF(A123="","",Parametreler!$B$5*L123*F123*E123)</x:f>
      </x:c>
      <x:c r="O123" s="26" t="str">
        <x:f>IF(A123="","",Parametreler!$B$5*L123*F123)</x:f>
      </x:c>
      <x:c r="P123" s="26" t="str">
        <x:f>IF(A123="","",G123+M123)</x:f>
      </x:c>
      <x:c r="Q123" s="26" t="str">
        <x:f>IF(A123="","",H123+N123)</x:f>
      </x:c>
      <x:c r="R123" s="26" t="str">
        <x:f>IF(A123="","",I123+O123)</x:f>
      </x:c>
    </x:row>
    <x:row r="124" ht="20" customHeight="1">
      <x:c r="A124" t="str">
        <x:f>IF(120&lt;=Parametreler!$B$9*Parametreler!$B$10,120,"")</x:f>
      </x:c>
      <x:c r="B124" t="str">
        <x:f>IF(A124="","",INT((A124-1)/Parametreler!$B$10)+1)</x:f>
      </x:c>
      <x:c r="C124" t="str">
        <x:f>IF(A124="","",MOD(A124-1,Parametreler!$B$10)+1)</x:f>
      </x:c>
      <x:c r="D124" s="26" t="str">
        <x:f>IF(A124="","",INDEX('Veri Kumesi'!$B$5:$B$8,C124))</x:f>
      </x:c>
      <x:c r="E124" s="26" t="str">
        <x:f>IF(A124="","",INDEX('Veri Kumesi'!$C$5:$C$8,C124))</x:f>
      </x:c>
      <x:c r="F124" s="26" t="str">
        <x:f>IF(A124="","",INDEX('Veri Kumesi'!$D$5:$D$8,C124))</x:f>
      </x:c>
      <x:c r="G124" s="26" t="str">
        <x:f>IF(A124="","",P123)</x:f>
      </x:c>
      <x:c r="H124" s="26" t="str">
        <x:f>IF(A124="","",Q123)</x:f>
      </x:c>
      <x:c r="I124" s="26" t="str">
        <x:f>IF(A124="","",R123)</x:f>
      </x:c>
      <x:c r="J124" s="26" t="str">
        <x:f>IF(A124="","",G124*D124+H124*E124+I124)</x:f>
      </x:c>
      <x:c r="K124" s="26" t="str">
        <x:f>IF(A124="","",IF(J124&gt;=Parametreler!$B$11,1,-1))</x:f>
      </x:c>
      <x:c r="L124" s="26" t="str">
        <x:f>IF(A124="","",IF(K124=F124,0,1))</x:f>
      </x:c>
      <x:c r="M124" s="26" t="str">
        <x:f>IF(A124="","",Parametreler!$B$5*L124*F124*D124)</x:f>
      </x:c>
      <x:c r="N124" s="26" t="str">
        <x:f>IF(A124="","",Parametreler!$B$5*L124*F124*E124)</x:f>
      </x:c>
      <x:c r="O124" s="26" t="str">
        <x:f>IF(A124="","",Parametreler!$B$5*L124*F124)</x:f>
      </x:c>
      <x:c r="P124" s="26" t="str">
        <x:f>IF(A124="","",G124+M124)</x:f>
      </x:c>
      <x:c r="Q124" s="26" t="str">
        <x:f>IF(A124="","",H124+N124)</x:f>
      </x:c>
      <x:c r="R124" s="26" t="str">
        <x:f>IF(A124="","",I124+O124)</x:f>
      </x:c>
    </x:row>
  </x:sheetData>
  <x:mergeCells>
    <x:mergeCell ref="A1:R2"/>
  </x:mergeCells>
  <x:conditionalFormatting sqref="L5:L124">
    <x:cfRule type="colorScale" priority="1">
      <x:colorScale>
        <x:cfvo type="min"/>
        <x:cfvo type="percentile" val="50"/>
        <x:cfvo type="max"/>
        <x:color rgb="FFD4F2E5"/>
        <x:color rgb="FFFFFFFF"/>
        <x:color rgb="FFF8D6D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" max="1" width="12" hidden="0" customWidth="1"/>
  </x:cols>
  <x:sheetData>
    <x:row r="1" ht="26" customHeight="1">
      <x:c r="A1" s="4" t="str">
        <x:v>EPOCH ANALİZİ | ÖĞRENME DİNAMİKLERİ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31" customHeight="1">
      <x:c r="A4" s="17" t="str">
        <x:v>Epoch</x:v>
      </x:c>
      <x:c r="B4" s="17" t="str">
        <x:v>ADALINE online MSE</x:v>
      </x:c>
      <x:c r="C4" s="17" t="str">
        <x:v>ADALINE son w1</x:v>
      </x:c>
      <x:c r="D4" s="17" t="str">
        <x:v>ADALINE son w2</x:v>
      </x:c>
      <x:c r="E4" s="17" t="str">
        <x:v>ADALINE son bias</x:v>
      </x:c>
      <x:c r="F4" s="17" t="str">
        <x:v>Perceptron hata sayısı</x:v>
      </x:c>
      <x:c r="G4" s="17" t="str">
        <x:v>Perceptron doğruluk %</x:v>
      </x:c>
      <x:c r="H4" s="17" t="str">
        <x:v>Perceptron son w1</x:v>
      </x:c>
      <x:c r="I4" s="17" t="str">
        <x:v>Perceptron son w2</x:v>
      </x:c>
      <x:c r="J4" s="17" t="str">
        <x:v>Perceptron son bias</x:v>
      </x:c>
    </x:row>
    <x:row r="5" ht="23" customHeight="1">
      <x:c r="A5" t="n">
        <x:f>IF(1&lt;=Parametreler!$B$9,1,"")</x:f>
        <x:v>1</x:v>
      </x:c>
      <x:c r="B5" t="n">
        <x:f>IF(A5="","",SUMIF('ADALINE Egitim'!$B$5:$B$124,A5,'ADALINE Egitim'!$L$5:$L$124)/Parametreler!$B$10)</x:f>
        <x:v>0.99400525</x:v>
      </x:c>
      <x:c r="C5" t="n">
        <x:f>IF(A5="","",'ADALINE Egitim'!P8)</x:f>
        <x:v>0.1999</x:v>
      </x:c>
      <x:c r="D5" t="n">
        <x:f>IF(A5="","",'ADALINE Egitim'!Q8)</x:f>
        <x:v>0.21789999999999998</x:v>
      </x:c>
      <x:c r="E5" t="n">
        <x:f>IF(A5="","",'ADALINE Egitim'!R8)</x:f>
        <x:v>-0.18010000000000004</x:v>
      </x:c>
      <x:c r="F5" t="n">
        <x:f>IF(A5="","",SUMIF('Perceptron Egitim'!$B$5:$B$124,A5,'Perceptron Egitim'!$L$5:$L$124))</x:f>
        <x:v>1</x:v>
      </x:c>
      <x:c r="G5" s="28" t="n">
        <x:f>IF(A5="","",(Parametreler!$B$10-F5)/Parametreler!$B$10)</x:f>
        <x:v>0.75</x:v>
      </x:c>
      <x:c r="H5" t="n">
        <x:f>IF(A5="","",'Perceptron Egitim'!P8)</x:f>
        <x:v>0.1</x:v>
      </x:c>
      <x:c r="I5" t="n">
        <x:f>IF(A5="","",'Perceptron Egitim'!Q8)</x:f>
        <x:v>0.1</x:v>
      </x:c>
      <x:c r="J5" t="n">
        <x:f>IF(A5="","",'Perceptron Egitim'!R8)</x:f>
        <x:v>-0.1</x:v>
      </x:c>
    </x:row>
    <x:row r="6" ht="23" customHeight="1">
      <x:c r="A6" t="n">
        <x:f>IF(2&lt;=Parametreler!$B$9,2,"")</x:f>
        <x:v>2</x:v>
      </x:c>
      <x:c r="B6" t="n">
        <x:f>IF(A6="","",SUMIF('ADALINE Egitim'!$B$5:$B$124,A6,'ADALINE Egitim'!$L$5:$L$124)/Parametreler!$B$10)</x:f>
        <x:v>0.5727629194012526</x:v>
      </x:c>
      <x:c r="C6" t="n">
        <x:f>IF(A6="","",'ADALINE Egitim'!P12)</x:f>
        <x:v>0.32433359000000006</x:v>
      </x:c>
      <x:c r="D6" t="n">
        <x:f>IF(A6="","",'ADALINE Egitim'!Q12)</x:f>
        <x:v>0.35108739</x:v>
      </x:c>
      <x:c r="E6" t="n">
        <x:f>IF(A6="","",'ADALINE Egitim'!R12)</x:f>
        <x:v>-0.29562441</x:v>
      </x:c>
      <x:c r="F6" t="n">
        <x:f>IF(A6="","",SUMIF('Perceptron Egitim'!$B$5:$B$124,A6,'Perceptron Egitim'!$L$5:$L$124))</x:f>
        <x:v>0</x:v>
      </x:c>
      <x:c r="G6" s="28" t="n">
        <x:f>IF(A6="","",(Parametreler!$B$10-F6)/Parametreler!$B$10)</x:f>
        <x:v>1</x:v>
      </x:c>
      <x:c r="H6" t="n">
        <x:f>IF(A6="","",'Perceptron Egitim'!P12)</x:f>
        <x:v>0.1</x:v>
      </x:c>
      <x:c r="I6" t="n">
        <x:f>IF(A6="","",'Perceptron Egitim'!Q12)</x:f>
        <x:v>0.1</x:v>
      </x:c>
      <x:c r="J6" t="n">
        <x:f>IF(A6="","",'Perceptron Egitim'!R12)</x:f>
        <x:v>-0.1</x:v>
      </x:c>
    </x:row>
    <x:row r="7" ht="23" customHeight="1">
      <x:c r="A7" t="n">
        <x:f>IF(3&lt;=Parametreler!$B$9,3,"")</x:f>
        <x:v>3</x:v>
      </x:c>
      <x:c r="B7" t="n">
        <x:f>IF(A7="","",SUMIF('ADALINE Egitim'!$B$5:$B$124,A7,'ADALINE Egitim'!$L$5:$L$124)/Parametreler!$B$10)</x:f>
        <x:v>0.4187611788943588</x:v>
      </x:c>
      <x:c r="C7" t="n">
        <x:f>IF(A7="","",'ADALINE Egitim'!P16)</x:f>
        <x:v>0.40178610511900004</x:v>
      </x:c>
      <x:c r="D7" t="n">
        <x:f>IF(A7="","",'ADALINE Egitim'!Q16)</x:f>
        <x:v>0.43240306369899995</x:v>
      </x:c>
      <x:c r="E7" t="n">
        <x:f>IF(A7="","",'ADALINE Egitim'!R16)</x:f>
        <x:v>-0.36960960268099996</x:v>
      </x:c>
      <x:c r="F7" t="n">
        <x:f>IF(A7="","",SUMIF('Perceptron Egitim'!$B$5:$B$124,A7,'Perceptron Egitim'!$L$5:$L$124))</x:f>
        <x:v>0</x:v>
      </x:c>
      <x:c r="G7" s="28" t="n">
        <x:f>IF(A7="","",(Parametreler!$B$10-F7)/Parametreler!$B$10)</x:f>
        <x:v>1</x:v>
      </x:c>
      <x:c r="H7" t="n">
        <x:f>IF(A7="","",'Perceptron Egitim'!P16)</x:f>
        <x:v>0.1</x:v>
      </x:c>
      <x:c r="I7" t="n">
        <x:f>IF(A7="","",'Perceptron Egitim'!Q16)</x:f>
        <x:v>0.1</x:v>
      </x:c>
      <x:c r="J7" t="n">
        <x:f>IF(A7="","",'Perceptron Egitim'!R16)</x:f>
        <x:v>-0.1</x:v>
      </x:c>
    </x:row>
    <x:row r="8" ht="23" customHeight="1">
      <x:c r="A8" t="n">
        <x:f>IF(4&lt;=Parametreler!$B$9,4,"")</x:f>
        <x:v>4</x:v>
      </x:c>
      <x:c r="B8" t="n">
        <x:f>IF(A8="","",SUMIF('ADALINE Egitim'!$B$5:$B$124,A8,'ADALINE Egitim'!$L$5:$L$124)/Parametreler!$B$10)</x:f>
        <x:v>0.3648740659385786</x:v>
      </x:c>
      <x:c r="C8" t="n">
        <x:f>IF(A8="","",'ADALINE Egitim'!P20)</x:f>
        <x:v>0.44999257117832797</x:v>
      </x:c>
      <x:c r="D8" t="n">
        <x:f>IF(A8="","",'ADALINE Egitim'!Q20)</x:f>
        <x:v>0.4819904909873059</x:v>
      </x:c>
      <x:c r="E8" t="n">
        <x:f>IF(A8="","",'ADALINE Egitim'!R20)</x:f>
        <x:v>-0.4169208289316521</x:v>
      </x:c>
      <x:c r="F8" t="n">
        <x:f>IF(A8="","",SUMIF('Perceptron Egitim'!$B$5:$B$124,A8,'Perceptron Egitim'!$L$5:$L$124))</x:f>
        <x:v>0</x:v>
      </x:c>
      <x:c r="G8" s="28" t="n">
        <x:f>IF(A8="","",(Parametreler!$B$10-F8)/Parametreler!$B$10)</x:f>
        <x:v>1</x:v>
      </x:c>
      <x:c r="H8" t="n">
        <x:f>IF(A8="","",'Perceptron Egitim'!P20)</x:f>
        <x:v>0.1</x:v>
      </x:c>
      <x:c r="I8" t="n">
        <x:f>IF(A8="","",'Perceptron Egitim'!Q20)</x:f>
        <x:v>0.1</x:v>
      </x:c>
      <x:c r="J8" t="n">
        <x:f>IF(A8="","",'Perceptron Egitim'!R20)</x:f>
        <x:v>-0.1</x:v>
      </x:c>
    </x:row>
    <x:row r="9" ht="23" customHeight="1">
      <x:c r="A9" t="n">
        <x:f>IF(5&lt;=Parametreler!$B$9,5,"")</x:f>
        <x:v>5</x:v>
      </x:c>
      <x:c r="B9" t="n">
        <x:f>IF(A9="","",SUMIF('ADALINE Egitim'!$B$5:$B$124,A9,'ADALINE Egitim'!$L$5:$L$124)/Parametreler!$B$10)</x:f>
        <x:v>0.34758744114163265</x:v>
      </x:c>
      <x:c r="C9" t="n">
        <x:f>IF(A9="","",'ADALINE Egitim'!P24)</x:f>
        <x:v>0.4799942655016477</x:v>
      </x:c>
      <x:c r="D9" t="n">
        <x:f>IF(A9="","",'ADALINE Egitim'!Q24)</x:f>
        <x:v>0.5121923669867755</x:v>
      </x:c>
      <x:c r="E9" t="n">
        <x:f>IF(A9="","",'ADALINE Egitim'!R24)</x:f>
        <x:v>-0.44713185238628617</x:v>
      </x:c>
      <x:c r="F9" t="n">
        <x:f>IF(A9="","",SUMIF('Perceptron Egitim'!$B$5:$B$124,A9,'Perceptron Egitim'!$L$5:$L$124))</x:f>
        <x:v>0</x:v>
      </x:c>
      <x:c r="G9" s="28" t="n">
        <x:f>IF(A9="","",(Parametreler!$B$10-F9)/Parametreler!$B$10)</x:f>
        <x:v>1</x:v>
      </x:c>
      <x:c r="H9" t="n">
        <x:f>IF(A9="","",'Perceptron Egitim'!P24)</x:f>
        <x:v>0.1</x:v>
      </x:c>
      <x:c r="I9" t="n">
        <x:f>IF(A9="","",'Perceptron Egitim'!Q24)</x:f>
        <x:v>0.1</x:v>
      </x:c>
      <x:c r="J9" t="n">
        <x:f>IF(A9="","",'Perceptron Egitim'!R24)</x:f>
        <x:v>-0.1</x:v>
      </x:c>
    </x:row>
    <x:row r="10" ht="23" customHeight="1">
      <x:c r="A10" t="n">
        <x:f>IF(6&lt;=Parametreler!$B$9,6,"")</x:f>
        <x:v>6</x:v>
      </x:c>
      <x:c r="B10" t="n">
        <x:f>IF(A10="","",SUMIF('ADALINE Egitim'!$B$5:$B$124,A10,'ADALINE Egitim'!$L$5:$L$124)/Parametreler!$B$10)</x:f>
        <x:v>0.34310794033069647</x:v>
      </x:c>
      <x:c r="C10" t="n">
        <x:f>IF(A10="","",'ADALINE Egitim'!P28)</x:f>
        <x:v>0.4986647611934826</x:v>
      </x:c>
      <x:c r="D10" t="n">
        <x:f>IF(A10="","",'ADALINE Egitim'!Q28)</x:f>
        <x:v>0.5305635840362856</x:v>
      </x:c>
      <x:c r="E10" t="n">
        <x:f>IF(A10="","",'ADALINE Egitim'!R28)</x:f>
        <x:v>-0.4663972792367718</x:v>
      </x:c>
      <x:c r="F10" t="n">
        <x:f>IF(A10="","",SUMIF('Perceptron Egitim'!$B$5:$B$124,A10,'Perceptron Egitim'!$L$5:$L$124))</x:f>
        <x:v>0</x:v>
      </x:c>
      <x:c r="G10" s="28" t="n">
        <x:f>IF(A10="","",(Parametreler!$B$10-F10)/Parametreler!$B$10)</x:f>
        <x:v>1</x:v>
      </x:c>
      <x:c r="H10" t="n">
        <x:f>IF(A10="","",'Perceptron Egitim'!P28)</x:f>
        <x:v>0.1</x:v>
      </x:c>
      <x:c r="I10" t="n">
        <x:f>IF(A10="","",'Perceptron Egitim'!Q28)</x:f>
        <x:v>0.1</x:v>
      </x:c>
      <x:c r="J10" t="n">
        <x:f>IF(A10="","",'Perceptron Egitim'!R28)</x:f>
        <x:v>-0.1</x:v>
      </x:c>
    </x:row>
    <x:row r="11" ht="23" customHeight="1">
      <x:c r="A11" t="n">
        <x:f>IF(7&lt;=Parametreler!$B$9,7,"")</x:f>
        <x:v>7</x:v>
      </x:c>
      <x:c r="B11" t="n">
        <x:f>IF(A11="","",SUMIF('ADALINE Egitim'!$B$5:$B$124,A11,'ADALINE Egitim'!$L$5:$L$124)/Parametreler!$B$10)</x:f>
        <x:v>0.3427369943722881</x:v>
      </x:c>
      <x:c r="C11" t="n">
        <x:f>IF(A11="","",'ADALINE Egitim'!P32)</x:f>
        <x:v>0.5102828416704783</x:v>
      </x:c>
      <x:c r="D11" t="n">
        <x:f>IF(A11="","",'ADALINE Egitim'!Q32)</x:f>
        <x:v>0.5417234174972139</x:v>
      </x:c>
      <x:c r="E11" t="n">
        <x:f>IF(A11="","",'ADALINE Egitim'!R32)</x:f>
        <x:v>-0.47866689507700494</x:v>
      </x:c>
      <x:c r="F11" t="n">
        <x:f>IF(A11="","",SUMIF('Perceptron Egitim'!$B$5:$B$124,A11,'Perceptron Egitim'!$L$5:$L$124))</x:f>
        <x:v>0</x:v>
      </x:c>
      <x:c r="G11" s="28" t="n">
        <x:f>IF(A11="","",(Parametreler!$B$10-F11)/Parametreler!$B$10)</x:f>
        <x:v>1</x:v>
      </x:c>
      <x:c r="H11" t="n">
        <x:f>IF(A11="","",'Perceptron Egitim'!P32)</x:f>
        <x:v>0.1</x:v>
      </x:c>
      <x:c r="I11" t="n">
        <x:f>IF(A11="","",'Perceptron Egitim'!Q32)</x:f>
        <x:v>0.1</x:v>
      </x:c>
      <x:c r="J11" t="n">
        <x:f>IF(A11="","",'Perceptron Egitim'!R32)</x:f>
        <x:v>-0.1</x:v>
      </x:c>
    </x:row>
    <x:row r="12" ht="23" customHeight="1">
      <x:c r="A12" t="n">
        <x:f>IF(8&lt;=Parametreler!$B$9,8,"")</x:f>
        <x:v>8</x:v>
      </x:c>
      <x:c r="B12" t="n">
        <x:f>IF(A12="","",SUMIF('ADALINE Egitim'!$B$5:$B$124,A12,'ADALINE Egitim'!$L$5:$L$124)/Parametreler!$B$10)</x:f>
        <x:v>0.3434306950936607</x:v>
      </x:c>
      <x:c r="C12" t="n">
        <x:f>IF(A12="","",'ADALINE Egitim'!P36)</x:f>
        <x:v>0.5175118759861155</x:v>
      </x:c>
      <x:c r="D12" t="n">
        <x:f>IF(A12="","",'ADALINE Egitim'!Q36)</x:f>
        <x:v>0.5484930414056408</x:v>
      </x:c>
      <x:c r="E12" t="n">
        <x:f>IF(A12="","",'ADALINE Egitim'!R36)</x:f>
        <x:v>-0.48647142914726843</x:v>
      </x:c>
      <x:c r="F12" t="n">
        <x:f>IF(A12="","",SUMIF('Perceptron Egitim'!$B$5:$B$124,A12,'Perceptron Egitim'!$L$5:$L$124))</x:f>
        <x:v>0</x:v>
      </x:c>
      <x:c r="G12" s="28" t="n">
        <x:f>IF(A12="","",(Parametreler!$B$10-F12)/Parametreler!$B$10)</x:f>
        <x:v>1</x:v>
      </x:c>
      <x:c r="H12" t="n">
        <x:f>IF(A12="","",'Perceptron Egitim'!P36)</x:f>
        <x:v>0.1</x:v>
      </x:c>
      <x:c r="I12" t="n">
        <x:f>IF(A12="","",'Perceptron Egitim'!Q36)</x:f>
        <x:v>0.1</x:v>
      </x:c>
      <x:c r="J12" t="n">
        <x:f>IF(A12="","",'Perceptron Egitim'!R36)</x:f>
        <x:v>-0.1</x:v>
      </x:c>
    </x:row>
    <x:row r="13" ht="23" customHeight="1">
      <x:c r="A13" t="n">
        <x:f>IF(9&lt;=Parametreler!$B$9,9,"")</x:f>
        <x:v>9</x:v>
      </x:c>
      <x:c r="B13" t="n">
        <x:f>IF(A13="","",SUMIF('ADALINE Egitim'!$B$5:$B$124,A13,'ADALINE Egitim'!$L$5:$L$124)/Parametreler!$B$10)</x:f>
        <x:v>0.34421245535500095</x:v>
      </x:c>
      <x:c r="C13" t="n">
        <x:f>IF(A13="","",'ADALINE Egitim'!P40)</x:f>
        <x:v>0.5220095968288567</x:v>
      </x:c>
      <x:c r="D13" t="n">
        <x:f>IF(A13="","",'ADALINE Egitim'!Q40)</x:f>
        <x:v>0.5525934434990951</x:v>
      </x:c>
      <x:c r="E13" t="n">
        <x:f>IF(A13="","",'ADALINE Egitim'!R40)</x:f>
        <x:v>-0.491429913181954</x:v>
      </x:c>
      <x:c r="F13" t="n">
        <x:f>IF(A13="","",SUMIF('Perceptron Egitim'!$B$5:$B$124,A13,'Perceptron Egitim'!$L$5:$L$124))</x:f>
        <x:v>0</x:v>
      </x:c>
      <x:c r="G13" s="28" t="n">
        <x:f>IF(A13="","",(Parametreler!$B$10-F13)/Parametreler!$B$10)</x:f>
        <x:v>1</x:v>
      </x:c>
      <x:c r="H13" t="n">
        <x:f>IF(A13="","",'Perceptron Egitim'!P40)</x:f>
        <x:v>0.1</x:v>
      </x:c>
      <x:c r="I13" t="n">
        <x:f>IF(A13="","",'Perceptron Egitim'!Q40)</x:f>
        <x:v>0.1</x:v>
      </x:c>
      <x:c r="J13" t="n">
        <x:f>IF(A13="","",'Perceptron Egitim'!R40)</x:f>
        <x:v>-0.1</x:v>
      </x:c>
    </x:row>
    <x:row r="14" ht="23" customHeight="1">
      <x:c r="A14" t="n">
        <x:f>IF(10&lt;=Parametreler!$B$9,10,"")</x:f>
        <x:v>10</x:v>
      </x:c>
      <x:c r="B14" t="n">
        <x:f>IF(A14="","",SUMIF('ADALINE Egitim'!$B$5:$B$124,A14,'ADALINE Egitim'!$L$5:$L$124)/Parametreler!$B$10)</x:f>
        <x:v>0.34482916363006677</x:v>
      </x:c>
      <x:c r="C14" t="n">
        <x:f>IF(A14="","",'ADALINE Egitim'!P44)</x:f>
        <x:v>0.5248077402162403</x:v>
      </x:c>
      <x:c r="D14" t="n">
        <x:f>IF(A14="","",'ADALINE Egitim'!Q44)</x:f>
        <x:v>0.5550731927951689</x:v>
      </x:c>
      <x:c r="E14" t="n">
        <x:f>IF(A14="","",'ADALINE Egitim'!R44)</x:f>
        <x:v>-0.4945766248604442</x:v>
      </x:c>
      <x:c r="F14" t="n">
        <x:f>IF(A14="","",SUMIF('Perceptron Egitim'!$B$5:$B$124,A14,'Perceptron Egitim'!$L$5:$L$124))</x:f>
        <x:v>0</x:v>
      </x:c>
      <x:c r="G14" s="28" t="n">
        <x:f>IF(A14="","",(Parametreler!$B$10-F14)/Parametreler!$B$10)</x:f>
        <x:v>1</x:v>
      </x:c>
      <x:c r="H14" t="n">
        <x:f>IF(A14="","",'Perceptron Egitim'!P44)</x:f>
        <x:v>0.1</x:v>
      </x:c>
      <x:c r="I14" t="n">
        <x:f>IF(A14="","",'Perceptron Egitim'!Q44)</x:f>
        <x:v>0.1</x:v>
      </x:c>
      <x:c r="J14" t="n">
        <x:f>IF(A14="","",'Perceptron Egitim'!R44)</x:f>
        <x:v>-0.1</x:v>
      </x:c>
    </x:row>
    <x:row r="15" ht="23" customHeight="1">
      <x:c r="A15" t="n">
        <x:f>IF(11&lt;=Parametreler!$B$9,11,"")</x:f>
        <x:v>11</x:v>
      </x:c>
      <x:c r="B15" t="n">
        <x:f>IF(A15="","",SUMIF('ADALINE Egitim'!$B$5:$B$124,A15,'ADALINE Egitim'!$L$5:$L$124)/Parametreler!$B$10)</x:f>
        <x:v>0.34525986149388616</x:v>
      </x:c>
      <x:c r="C15" t="n">
        <x:f>IF(A15="","",'ADALINE Egitim'!P48)</x:f>
        <x:v>0.5265483910754465</x:v>
      </x:c>
      <x:c r="D15" t="n">
        <x:f>IF(A15="","",'ADALINE Egitim'!Q48)</x:f>
        <x:v>0.556570354292917</x:v>
      </x:c>
      <x:c r="E15" t="n">
        <x:f>IF(A15="","",'ADALINE Egitim'!R48)</x:f>
        <x:v>-0.4965713791280013</x:v>
      </x:c>
      <x:c r="F15" t="n">
        <x:f>IF(A15="","",SUMIF('Perceptron Egitim'!$B$5:$B$124,A15,'Perceptron Egitim'!$L$5:$L$124))</x:f>
        <x:v>0</x:v>
      </x:c>
      <x:c r="G15" s="28" t="n">
        <x:f>IF(A15="","",(Parametreler!$B$10-F15)/Parametreler!$B$10)</x:f>
        <x:v>1</x:v>
      </x:c>
      <x:c r="H15" t="n">
        <x:f>IF(A15="","",'Perceptron Egitim'!P48)</x:f>
        <x:v>0.1</x:v>
      </x:c>
      <x:c r="I15" t="n">
        <x:f>IF(A15="","",'Perceptron Egitim'!Q48)</x:f>
        <x:v>0.1</x:v>
      </x:c>
      <x:c r="J15" t="n">
        <x:f>IF(A15="","",'Perceptron Egitim'!R48)</x:f>
        <x:v>-0.1</x:v>
      </x:c>
    </x:row>
    <x:row r="16" ht="23" customHeight="1">
      <x:c r="A16" t="n">
        <x:f>IF(12&lt;=Parametreler!$B$9,12,"")</x:f>
        <x:v>12</x:v>
      </x:c>
      <x:c r="B16" t="n">
        <x:f>IF(A16="","",SUMIF('ADALINE Egitim'!$B$5:$B$124,A16,'ADALINE Egitim'!$L$5:$L$124)/Parametreler!$B$10)</x:f>
        <x:v>0.3455437834588314</x:v>
      </x:c>
      <x:c r="C16" t="n">
        <x:f>IF(A16="","",'ADALINE Egitim'!P52)</x:f>
        <x:v>0.5276311121878123</x:v>
      </x:c>
      <x:c r="D16" t="n">
        <x:f>IF(A16="","",'ADALINE Egitim'!Q52)</x:f>
        <x:v>0.5574726820490767</x:v>
      </x:c>
      <x:c r="E16" t="n">
        <x:f>IF(A16="","",'ADALINE Egitim'!R52)</x:f>
        <x:v>-0.4978345524241836</x:v>
      </x:c>
      <x:c r="F16" t="n">
        <x:f>IF(A16="","",SUMIF('Perceptron Egitim'!$B$5:$B$124,A16,'Perceptron Egitim'!$L$5:$L$124))</x:f>
        <x:v>0</x:v>
      </x:c>
      <x:c r="G16" s="28" t="n">
        <x:f>IF(A16="","",(Parametreler!$B$10-F16)/Parametreler!$B$10)</x:f>
        <x:v>1</x:v>
      </x:c>
      <x:c r="H16" t="n">
        <x:f>IF(A16="","",'Perceptron Egitim'!P52)</x:f>
        <x:v>0.1</x:v>
      </x:c>
      <x:c r="I16" t="n">
        <x:f>IF(A16="","",'Perceptron Egitim'!Q52)</x:f>
        <x:v>0.1</x:v>
      </x:c>
      <x:c r="J16" t="n">
        <x:f>IF(A16="","",'Perceptron Egitim'!R52)</x:f>
        <x:v>-0.1</x:v>
      </x:c>
    </x:row>
    <x:row r="17" ht="23" customHeight="1">
      <x:c r="A17" t="n">
        <x:f>IF(13&lt;=Parametreler!$B$9,13,"")</x:f>
        <x:v>13</x:v>
      </x:c>
      <x:c r="B17" t="n">
        <x:f>IF(A17="","",SUMIF('ADALINE Egitim'!$B$5:$B$124,A17,'ADALINE Egitim'!$L$5:$L$124)/Parametreler!$B$10)</x:f>
        <x:v>0.34572516472486825</x:v>
      </x:c>
      <x:c r="C17" t="n">
        <x:f>IF(A17="","",'ADALINE Egitim'!P56)</x:f>
        <x:v>0.528304528755208</x:v>
      </x:c>
      <x:c r="D17" t="n">
        <x:f>IF(A17="","",'ADALINE Egitim'!Q56)</x:f>
        <x:v>0.5580154877140303</x:v>
      </x:c>
      <x:c r="E17" t="n">
        <x:f>IF(A17="","",'ADALINE Egitim'!R56)</x:f>
        <x:v>-0.4986336369452112</x:v>
      </x:c>
      <x:c r="F17" t="n">
        <x:f>IF(A17="","",SUMIF('Perceptron Egitim'!$B$5:$B$124,A17,'Perceptron Egitim'!$L$5:$L$124))</x:f>
        <x:v>0</x:v>
      </x:c>
      <x:c r="G17" s="28" t="n">
        <x:f>IF(A17="","",(Parametreler!$B$10-F17)/Parametreler!$B$10)</x:f>
        <x:v>1</x:v>
      </x:c>
      <x:c r="H17" t="n">
        <x:f>IF(A17="","",'Perceptron Egitim'!P56)</x:f>
        <x:v>0.1</x:v>
      </x:c>
      <x:c r="I17" t="n">
        <x:f>IF(A17="","",'Perceptron Egitim'!Q56)</x:f>
        <x:v>0.1</x:v>
      </x:c>
      <x:c r="J17" t="n">
        <x:f>IF(A17="","",'Perceptron Egitim'!R56)</x:f>
        <x:v>-0.1</x:v>
      </x:c>
    </x:row>
    <x:row r="18" ht="23" customHeight="1">
      <x:c r="A18" t="n">
        <x:f>IF(14&lt;=Parametreler!$B$9,14,"")</x:f>
        <x:v>14</x:v>
      </x:c>
      <x:c r="B18" t="n">
        <x:f>IF(A18="","",SUMIF('ADALINE Egitim'!$B$5:$B$124,A18,'ADALINE Egitim'!$L$5:$L$124)/Parametreler!$B$10)</x:f>
        <x:v>0.3458389225023318</x:v>
      </x:c>
      <x:c r="C18" t="n">
        <x:f>IF(A18="","",'ADALINE Egitim'!P60)</x:f>
        <x:v>0.5287233341689985</x:v>
      </x:c>
      <x:c r="D18" t="n">
        <x:f>IF(A18="","",'ADALINE Egitim'!Q60)</x:f>
        <x:v>0.558341363291393</x:v>
      </x:c>
      <x:c r="E18" t="n">
        <x:f>IF(A18="","",'ADALINE Egitim'!R60)</x:f>
        <x:v>-0.4991386383195421</x:v>
      </x:c>
      <x:c r="F18" t="n">
        <x:f>IF(A18="","",SUMIF('Perceptron Egitim'!$B$5:$B$124,A18,'Perceptron Egitim'!$L$5:$L$124))</x:f>
        <x:v>0</x:v>
      </x:c>
      <x:c r="G18" s="28" t="n">
        <x:f>IF(A18="","",(Parametreler!$B$10-F18)/Parametreler!$B$10)</x:f>
        <x:v>1</x:v>
      </x:c>
      <x:c r="H18" t="n">
        <x:f>IF(A18="","",'Perceptron Egitim'!P60)</x:f>
        <x:v>0.1</x:v>
      </x:c>
      <x:c r="I18" t="n">
        <x:f>IF(A18="","",'Perceptron Egitim'!Q60)</x:f>
        <x:v>0.1</x:v>
      </x:c>
      <x:c r="J18" t="n">
        <x:f>IF(A18="","",'Perceptron Egitim'!R60)</x:f>
        <x:v>-0.1</x:v>
      </x:c>
    </x:row>
    <x:row r="19" ht="23" customHeight="1">
      <x:c r="A19" t="n">
        <x:f>IF(15&lt;=Parametreler!$B$9,15,"")</x:f>
        <x:v>15</x:v>
      </x:c>
      <x:c r="B19" t="n">
        <x:f>IF(A19="","",SUMIF('ADALINE Egitim'!$B$5:$B$124,A19,'ADALINE Egitim'!$L$5:$L$124)/Parametreler!$B$10)</x:f>
        <x:v>0.3459094599488573</x:v>
      </x:c>
      <x:c r="C19" t="n">
        <x:f>IF(A19="","",'ADALINE Egitim'!P64)</x:f>
        <x:v>0.5289837702449399</x:v>
      </x:c>
      <x:c r="D19" t="n">
        <x:f>IF(A19="","",'ADALINE Egitim'!Q64)</x:f>
        <x:v>0.5585365822059934</x:v>
      </x:c>
      <x:c r="E19" t="n">
        <x:f>IF(A19="","",'ADALINE Egitim'!R64)</x:f>
        <x:v>-0.4994574799637832</x:v>
      </x:c>
      <x:c r="F19" t="n">
        <x:f>IF(A19="","",SUMIF('Perceptron Egitim'!$B$5:$B$124,A19,'Perceptron Egitim'!$L$5:$L$124))</x:f>
        <x:v>0</x:v>
      </x:c>
      <x:c r="G19" s="28" t="n">
        <x:f>IF(A19="","",(Parametreler!$B$10-F19)/Parametreler!$B$10)</x:f>
        <x:v>1</x:v>
      </x:c>
      <x:c r="H19" t="n">
        <x:f>IF(A19="","",'Perceptron Egitim'!P64)</x:f>
        <x:v>0.1</x:v>
      </x:c>
      <x:c r="I19" t="n">
        <x:f>IF(A19="","",'Perceptron Egitim'!Q64)</x:f>
        <x:v>0.1</x:v>
      </x:c>
      <x:c r="J19" t="n">
        <x:f>IF(A19="","",'Perceptron Egitim'!R64)</x:f>
        <x:v>-0.1</x:v>
      </x:c>
    </x:row>
    <x:row r="20" ht="23" customHeight="1">
      <x:c r="A20" t="n">
        <x:f>IF(16&lt;=Parametreler!$B$9,16,"")</x:f>
        <x:v>16</x:v>
      </x:c>
      <x:c r="B20" t="n">
        <x:f>IF(A20="","",SUMIF('ADALINE Egitim'!$B$5:$B$124,A20,'ADALINE Egitim'!$L$5:$L$124)/Parametreler!$B$10)</x:f>
        <x:v>0.34595287717165824</x:v>
      </x:c>
      <x:c r="C20" t="n">
        <x:f>IF(A20="","",'ADALINE Egitim'!P68)</x:f>
        <x:v>0.5291457084995161</x:v>
      </x:c>
      <x:c r="D20" t="n">
        <x:f>IF(A20="","",'ADALINE Egitim'!Q68)</x:f>
        <x:v>0.5586532579809231</x:v>
      </x:c>
      <x:c r="E20" t="n">
        <x:f>IF(A20="","",'ADALINE Egitim'!R68)</x:f>
        <x:v>-0.499658598274012</x:v>
      </x:c>
      <x:c r="F20" t="n">
        <x:f>IF(A20="","",SUMIF('Perceptron Egitim'!$B$5:$B$124,A20,'Perceptron Egitim'!$L$5:$L$124))</x:f>
        <x:v>0</x:v>
      </x:c>
      <x:c r="G20" s="28" t="n">
        <x:f>IF(A20="","",(Parametreler!$B$10-F20)/Parametreler!$B$10)</x:f>
        <x:v>1</x:v>
      </x:c>
      <x:c r="H20" t="n">
        <x:f>IF(A20="","",'Perceptron Egitim'!P68)</x:f>
        <x:v>0.1</x:v>
      </x:c>
      <x:c r="I20" t="n">
        <x:f>IF(A20="","",'Perceptron Egitim'!Q68)</x:f>
        <x:v>0.1</x:v>
      </x:c>
      <x:c r="J20" t="n">
        <x:f>IF(A20="","",'Perceptron Egitim'!R68)</x:f>
        <x:v>-0.1</x:v>
      </x:c>
    </x:row>
    <x:row r="21" ht="23" customHeight="1">
      <x:c r="A21" t="n">
        <x:f>IF(17&lt;=Parametreler!$B$9,17,"")</x:f>
        <x:v>17</x:v>
      </x:c>
      <x:c r="B21" t="n">
        <x:f>IF(A21="","",SUMIF('ADALINE Egitim'!$B$5:$B$124,A21,'ADALINE Egitim'!$L$5:$L$124)/Parametreler!$B$10)</x:f>
        <x:v>0.34597946897031806</x:v>
      </x:c>
      <x:c r="C21" t="n">
        <x:f>IF(A21="","",'ADALINE Egitim'!P72)</x:f>
        <x:v>0.5292463915421373</x:v>
      </x:c>
      <x:c r="D21" t="n">
        <x:f>IF(A21="","",'ADALINE Egitim'!Q72)</x:f>
        <x:v>0.5587228153846383</x:v>
      </x:c>
      <x:c r="E21" t="n">
        <x:f>IF(A21="","",'ADALINE Egitim'!R72)</x:f>
        <x:v>-0.4997853438170685</x:v>
      </x:c>
      <x:c r="F21" t="n">
        <x:f>IF(A21="","",SUMIF('Perceptron Egitim'!$B$5:$B$124,A21,'Perceptron Egitim'!$L$5:$L$124))</x:f>
        <x:v>0</x:v>
      </x:c>
      <x:c r="G21" s="28" t="n">
        <x:f>IF(A21="","",(Parametreler!$B$10-F21)/Parametreler!$B$10)</x:f>
        <x:v>1</x:v>
      </x:c>
      <x:c r="H21" t="n">
        <x:f>IF(A21="","",'Perceptron Egitim'!P72)</x:f>
        <x:v>0.1</x:v>
      </x:c>
      <x:c r="I21" t="n">
        <x:f>IF(A21="","",'Perceptron Egitim'!Q72)</x:f>
        <x:v>0.1</x:v>
      </x:c>
      <x:c r="J21" t="n">
        <x:f>IF(A21="","",'Perceptron Egitim'!R72)</x:f>
        <x:v>-0.1</x:v>
      </x:c>
    </x:row>
    <x:row r="22" ht="23" customHeight="1">
      <x:c r="A22" t="n">
        <x:f>IF(18&lt;=Parametreler!$B$9,18,"")</x:f>
        <x:v>18</x:v>
      </x:c>
      <x:c r="B22" t="n">
        <x:f>IF(A22="","",SUMIF('ADALINE Egitim'!$B$5:$B$124,A22,'ADALINE Egitim'!$L$5:$L$124)/Parametreler!$B$10)</x:f>
        <x:v>0.3459956984064652</x:v>
      </x:c>
      <x:c r="C22" t="n">
        <x:f>IF(A22="","",'ADALINE Egitim'!P76)</x:f>
        <x:v>0.5293089838419687</x:v>
      </x:c>
      <x:c r="D22" t="n">
        <x:f>IF(A22="","",'ADALINE Egitim'!Q76)</x:f>
        <x:v>0.5587641688494658</x:v>
      </x:c>
      <x:c r="E22" t="n">
        <x:f>IF(A22="","",'ADALINE Egitim'!R76)</x:f>
        <x:v>-0.49986514838843155</x:v>
      </x:c>
      <x:c r="F22" t="n">
        <x:f>IF(A22="","",SUMIF('Perceptron Egitim'!$B$5:$B$124,A22,'Perceptron Egitim'!$L$5:$L$124))</x:f>
        <x:v>0</x:v>
      </x:c>
      <x:c r="G22" s="28" t="n">
        <x:f>IF(A22="","",(Parametreler!$B$10-F22)/Parametreler!$B$10)</x:f>
        <x:v>1</x:v>
      </x:c>
      <x:c r="H22" t="n">
        <x:f>IF(A22="","",'Perceptron Egitim'!P76)</x:f>
        <x:v>0.1</x:v>
      </x:c>
      <x:c r="I22" t="n">
        <x:f>IF(A22="","",'Perceptron Egitim'!Q76)</x:f>
        <x:v>0.1</x:v>
      </x:c>
      <x:c r="J22" t="n">
        <x:f>IF(A22="","",'Perceptron Egitim'!R76)</x:f>
        <x:v>-0.1</x:v>
      </x:c>
    </x:row>
    <x:row r="23" ht="23" customHeight="1">
      <x:c r="A23" t="n">
        <x:f>IF(19&lt;=Parametreler!$B$9,19,"")</x:f>
        <x:v>19</x:v>
      </x:c>
      <x:c r="B23" t="n">
        <x:f>IF(A23="","",SUMIF('ADALINE Egitim'!$B$5:$B$124,A23,'ADALINE Egitim'!$L$5:$L$124)/Parametreler!$B$10)</x:f>
        <x:v>0.34600557730561776</x:v>
      </x:c>
      <x:c r="C23" t="n">
        <x:f>IF(A23="","",'ADALINE Egitim'!P80)</x:f>
        <x:v>0.5293478921498275</x:v>
      </x:c>
      <x:c r="D23" t="n">
        <x:f>IF(A23="","",'ADALINE Egitim'!Q80)</x:f>
        <x:v>0.5587886804888668</x:v>
      </x:c>
      <x:c r="E23" t="n">
        <x:f>IF(A23="","",'ADALINE Egitim'!R80)</x:f>
        <x:v>-0.4999153532100099</x:v>
      </x:c>
      <x:c r="F23" t="n">
        <x:f>IF(A23="","",SUMIF('Perceptron Egitim'!$B$5:$B$124,A23,'Perceptron Egitim'!$L$5:$L$124))</x:f>
        <x:v>0</x:v>
      </x:c>
      <x:c r="G23" s="28" t="n">
        <x:f>IF(A23="","",(Parametreler!$B$10-F23)/Parametreler!$B$10)</x:f>
        <x:v>1</x:v>
      </x:c>
      <x:c r="H23" t="n">
        <x:f>IF(A23="","",'Perceptron Egitim'!P80)</x:f>
        <x:v>0.1</x:v>
      </x:c>
      <x:c r="I23" t="n">
        <x:f>IF(A23="","",'Perceptron Egitim'!Q80)</x:f>
        <x:v>0.1</x:v>
      </x:c>
      <x:c r="J23" t="n">
        <x:f>IF(A23="","",'Perceptron Egitim'!R80)</x:f>
        <x:v>-0.1</x:v>
      </x:c>
    </x:row>
    <x:row r="24" ht="23" customHeight="1">
      <x:c r="A24" t="n">
        <x:f>IF(20&lt;=Parametreler!$B$9,20,"")</x:f>
        <x:v>20</x:v>
      </x:c>
      <x:c r="B24" t="n">
        <x:f>IF(A24="","",SUMIF('ADALINE Egitim'!$B$5:$B$124,A24,'ADALINE Egitim'!$L$5:$L$124)/Parametreler!$B$10)</x:f>
        <x:v>0.3460115778517203</x:v>
      </x:c>
      <x:c r="C24" t="n">
        <x:f>IF(A24="","",'ADALINE Egitim'!P84)</x:f>
        <x:v>0.5293720756864557</x:v>
      </x:c>
      <x:c r="D24" t="n">
        <x:f>IF(A24="","",'ADALINE Egitim'!Q84)</x:f>
        <x:v>0.5588031612441573</x:v>
      </x:c>
      <x:c r="E24" t="n">
        <x:f>IF(A24="","",'ADALINE Egitim'!R84)</x:f>
        <x:v>-0.49994691004642094</x:v>
      </x:c>
      <x:c r="F24" t="n">
        <x:f>IF(A24="","",SUMIF('Perceptron Egitim'!$B$5:$B$124,A24,'Perceptron Egitim'!$L$5:$L$124))</x:f>
        <x:v>0</x:v>
      </x:c>
      <x:c r="G24" s="28" t="n">
        <x:f>IF(A24="","",(Parametreler!$B$10-F24)/Parametreler!$B$10)</x:f>
        <x:v>1</x:v>
      </x:c>
      <x:c r="H24" t="n">
        <x:f>IF(A24="","",'Perceptron Egitim'!P84)</x:f>
        <x:v>0.1</x:v>
      </x:c>
      <x:c r="I24" t="n">
        <x:f>IF(A24="","",'Perceptron Egitim'!Q84)</x:f>
        <x:v>0.1</x:v>
      </x:c>
      <x:c r="J24" t="n">
        <x:f>IF(A24="","",'Perceptron Egitim'!R84)</x:f>
        <x:v>-0.1</x:v>
      </x:c>
    </x:row>
    <x:row r="25" ht="23" customHeight="1">
      <x:c r="A25" t="str">
        <x:f>IF(21&lt;=Parametreler!$B$9,21,"")</x:f>
      </x:c>
      <x:c r="B25" t="str">
        <x:f>IF(A25="","",SUMIF('ADALINE Egitim'!$B$5:$B$124,A25,'ADALINE Egitim'!$L$5:$L$124)/Parametreler!$B$10)</x:f>
      </x:c>
      <x:c r="C25" t="str">
        <x:f>IF(A25="","",'ADALINE Egitim'!P88)</x:f>
      </x:c>
      <x:c r="D25" t="str">
        <x:f>IF(A25="","",'ADALINE Egitim'!Q88)</x:f>
      </x:c>
      <x:c r="E25" t="str">
        <x:f>IF(A25="","",'ADALINE Egitim'!R88)</x:f>
      </x:c>
      <x:c r="F25" t="str">
        <x:f>IF(A25="","",SUMIF('Perceptron Egitim'!$B$5:$B$124,A25,'Perceptron Egitim'!$L$5:$L$124))</x:f>
      </x:c>
      <x:c r="G25" s="28" t="str">
        <x:f>IF(A25="","",(Parametreler!$B$10-F25)/Parametreler!$B$10)</x:f>
      </x:c>
      <x:c r="H25" t="str">
        <x:f>IF(A25="","",'Perceptron Egitim'!P88)</x:f>
      </x:c>
      <x:c r="I25" t="str">
        <x:f>IF(A25="","",'Perceptron Egitim'!Q88)</x:f>
      </x:c>
      <x:c r="J25" t="str">
        <x:f>IF(A25="","",'Perceptron Egitim'!R88)</x:f>
      </x:c>
    </x:row>
    <x:row r="26" ht="23" customHeight="1">
      <x:c r="A26" t="str">
        <x:f>IF(22&lt;=Parametreler!$B$9,22,"")</x:f>
      </x:c>
      <x:c r="B26" t="str">
        <x:f>IF(A26="","",SUMIF('ADALINE Egitim'!$B$5:$B$124,A26,'ADALINE Egitim'!$L$5:$L$124)/Parametreler!$B$10)</x:f>
      </x:c>
      <x:c r="C26" t="str">
        <x:f>IF(A26="","",'ADALINE Egitim'!P92)</x:f>
      </x:c>
      <x:c r="D26" t="str">
        <x:f>IF(A26="","",'ADALINE Egitim'!Q92)</x:f>
      </x:c>
      <x:c r="E26" t="str">
        <x:f>IF(A26="","",'ADALINE Egitim'!R92)</x:f>
      </x:c>
      <x:c r="F26" t="str">
        <x:f>IF(A26="","",SUMIF('Perceptron Egitim'!$B$5:$B$124,A26,'Perceptron Egitim'!$L$5:$L$124))</x:f>
      </x:c>
      <x:c r="G26" s="28" t="str">
        <x:f>IF(A26="","",(Parametreler!$B$10-F26)/Parametreler!$B$10)</x:f>
      </x:c>
      <x:c r="H26" t="str">
        <x:f>IF(A26="","",'Perceptron Egitim'!P92)</x:f>
      </x:c>
      <x:c r="I26" t="str">
        <x:f>IF(A26="","",'Perceptron Egitim'!Q92)</x:f>
      </x:c>
      <x:c r="J26" t="str">
        <x:f>IF(A26="","",'Perceptron Egitim'!R92)</x:f>
      </x:c>
    </x:row>
    <x:row r="27" ht="23" customHeight="1">
      <x:c r="A27" t="str">
        <x:f>IF(23&lt;=Parametreler!$B$9,23,"")</x:f>
      </x:c>
      <x:c r="B27" t="str">
        <x:f>IF(A27="","",SUMIF('ADALINE Egitim'!$B$5:$B$124,A27,'ADALINE Egitim'!$L$5:$L$124)/Parametreler!$B$10)</x:f>
      </x:c>
      <x:c r="C27" t="str">
        <x:f>IF(A27="","",'ADALINE Egitim'!P96)</x:f>
      </x:c>
      <x:c r="D27" t="str">
        <x:f>IF(A27="","",'ADALINE Egitim'!Q96)</x:f>
      </x:c>
      <x:c r="E27" t="str">
        <x:f>IF(A27="","",'ADALINE Egitim'!R96)</x:f>
      </x:c>
      <x:c r="F27" t="str">
        <x:f>IF(A27="","",SUMIF('Perceptron Egitim'!$B$5:$B$124,A27,'Perceptron Egitim'!$L$5:$L$124))</x:f>
      </x:c>
      <x:c r="G27" s="28" t="str">
        <x:f>IF(A27="","",(Parametreler!$B$10-F27)/Parametreler!$B$10)</x:f>
      </x:c>
      <x:c r="H27" t="str">
        <x:f>IF(A27="","",'Perceptron Egitim'!P96)</x:f>
      </x:c>
      <x:c r="I27" t="str">
        <x:f>IF(A27="","",'Perceptron Egitim'!Q96)</x:f>
      </x:c>
      <x:c r="J27" t="str">
        <x:f>IF(A27="","",'Perceptron Egitim'!R96)</x:f>
      </x:c>
    </x:row>
    <x:row r="28" ht="23" customHeight="1">
      <x:c r="A28" t="str">
        <x:f>IF(24&lt;=Parametreler!$B$9,24,"")</x:f>
      </x:c>
      <x:c r="B28" t="str">
        <x:f>IF(A28="","",SUMIF('ADALINE Egitim'!$B$5:$B$124,A28,'ADALINE Egitim'!$L$5:$L$124)/Parametreler!$B$10)</x:f>
      </x:c>
      <x:c r="C28" t="str">
        <x:f>IF(A28="","",'ADALINE Egitim'!P100)</x:f>
      </x:c>
      <x:c r="D28" t="str">
        <x:f>IF(A28="","",'ADALINE Egitim'!Q100)</x:f>
      </x:c>
      <x:c r="E28" t="str">
        <x:f>IF(A28="","",'ADALINE Egitim'!R100)</x:f>
      </x:c>
      <x:c r="F28" t="str">
        <x:f>IF(A28="","",SUMIF('Perceptron Egitim'!$B$5:$B$124,A28,'Perceptron Egitim'!$L$5:$L$124))</x:f>
      </x:c>
      <x:c r="G28" s="28" t="str">
        <x:f>IF(A28="","",(Parametreler!$B$10-F28)/Parametreler!$B$10)</x:f>
      </x:c>
      <x:c r="H28" t="str">
        <x:f>IF(A28="","",'Perceptron Egitim'!P100)</x:f>
      </x:c>
      <x:c r="I28" t="str">
        <x:f>IF(A28="","",'Perceptron Egitim'!Q100)</x:f>
      </x:c>
      <x:c r="J28" t="str">
        <x:f>IF(A28="","",'Perceptron Egitim'!R100)</x:f>
      </x:c>
    </x:row>
    <x:row r="29" ht="23" customHeight="1">
      <x:c r="A29" t="str">
        <x:f>IF(25&lt;=Parametreler!$B$9,25,"")</x:f>
      </x:c>
      <x:c r="B29" t="str">
        <x:f>IF(A29="","",SUMIF('ADALINE Egitim'!$B$5:$B$124,A29,'ADALINE Egitim'!$L$5:$L$124)/Parametreler!$B$10)</x:f>
      </x:c>
      <x:c r="C29" t="str">
        <x:f>IF(A29="","",'ADALINE Egitim'!P104)</x:f>
      </x:c>
      <x:c r="D29" t="str">
        <x:f>IF(A29="","",'ADALINE Egitim'!Q104)</x:f>
      </x:c>
      <x:c r="E29" t="str">
        <x:f>IF(A29="","",'ADALINE Egitim'!R104)</x:f>
      </x:c>
      <x:c r="F29" t="str">
        <x:f>IF(A29="","",SUMIF('Perceptron Egitim'!$B$5:$B$124,A29,'Perceptron Egitim'!$L$5:$L$124))</x:f>
      </x:c>
      <x:c r="G29" s="28" t="str">
        <x:f>IF(A29="","",(Parametreler!$B$10-F29)/Parametreler!$B$10)</x:f>
      </x:c>
      <x:c r="H29" t="str">
        <x:f>IF(A29="","",'Perceptron Egitim'!P104)</x:f>
      </x:c>
      <x:c r="I29" t="str">
        <x:f>IF(A29="","",'Perceptron Egitim'!Q104)</x:f>
      </x:c>
      <x:c r="J29" t="str">
        <x:f>IF(A29="","",'Perceptron Egitim'!R104)</x:f>
      </x:c>
    </x:row>
    <x:row r="30" ht="23" customHeight="1">
      <x:c r="A30" t="str">
        <x:f>IF(26&lt;=Parametreler!$B$9,26,"")</x:f>
      </x:c>
      <x:c r="B30" t="str">
        <x:f>IF(A30="","",SUMIF('ADALINE Egitim'!$B$5:$B$124,A30,'ADALINE Egitim'!$L$5:$L$124)/Parametreler!$B$10)</x:f>
      </x:c>
      <x:c r="C30" t="str">
        <x:f>IF(A30="","",'ADALINE Egitim'!P108)</x:f>
      </x:c>
      <x:c r="D30" t="str">
        <x:f>IF(A30="","",'ADALINE Egitim'!Q108)</x:f>
      </x:c>
      <x:c r="E30" t="str">
        <x:f>IF(A30="","",'ADALINE Egitim'!R108)</x:f>
      </x:c>
      <x:c r="F30" t="str">
        <x:f>IF(A30="","",SUMIF('Perceptron Egitim'!$B$5:$B$124,A30,'Perceptron Egitim'!$L$5:$L$124))</x:f>
      </x:c>
      <x:c r="G30" s="28" t="str">
        <x:f>IF(A30="","",(Parametreler!$B$10-F30)/Parametreler!$B$10)</x:f>
      </x:c>
      <x:c r="H30" t="str">
        <x:f>IF(A30="","",'Perceptron Egitim'!P108)</x:f>
      </x:c>
      <x:c r="I30" t="str">
        <x:f>IF(A30="","",'Perceptron Egitim'!Q108)</x:f>
      </x:c>
      <x:c r="J30" t="str">
        <x:f>IF(A30="","",'Perceptron Egitim'!R108)</x:f>
      </x:c>
    </x:row>
    <x:row r="31" ht="23" customHeight="1">
      <x:c r="A31" t="str">
        <x:f>IF(27&lt;=Parametreler!$B$9,27,"")</x:f>
      </x:c>
      <x:c r="B31" t="str">
        <x:f>IF(A31="","",SUMIF('ADALINE Egitim'!$B$5:$B$124,A31,'ADALINE Egitim'!$L$5:$L$124)/Parametreler!$B$10)</x:f>
      </x:c>
      <x:c r="C31" t="str">
        <x:f>IF(A31="","",'ADALINE Egitim'!P112)</x:f>
      </x:c>
      <x:c r="D31" t="str">
        <x:f>IF(A31="","",'ADALINE Egitim'!Q112)</x:f>
      </x:c>
      <x:c r="E31" t="str">
        <x:f>IF(A31="","",'ADALINE Egitim'!R112)</x:f>
      </x:c>
      <x:c r="F31" t="str">
        <x:f>IF(A31="","",SUMIF('Perceptron Egitim'!$B$5:$B$124,A31,'Perceptron Egitim'!$L$5:$L$124))</x:f>
      </x:c>
      <x:c r="G31" s="28" t="str">
        <x:f>IF(A31="","",(Parametreler!$B$10-F31)/Parametreler!$B$10)</x:f>
      </x:c>
      <x:c r="H31" t="str">
        <x:f>IF(A31="","",'Perceptron Egitim'!P112)</x:f>
      </x:c>
      <x:c r="I31" t="str">
        <x:f>IF(A31="","",'Perceptron Egitim'!Q112)</x:f>
      </x:c>
      <x:c r="J31" t="str">
        <x:f>IF(A31="","",'Perceptron Egitim'!R112)</x:f>
      </x:c>
    </x:row>
    <x:row r="32" ht="23" customHeight="1">
      <x:c r="A32" t="str">
        <x:f>IF(28&lt;=Parametreler!$B$9,28,"")</x:f>
      </x:c>
      <x:c r="B32" t="str">
        <x:f>IF(A32="","",SUMIF('ADALINE Egitim'!$B$5:$B$124,A32,'ADALINE Egitim'!$L$5:$L$124)/Parametreler!$B$10)</x:f>
      </x:c>
      <x:c r="C32" t="str">
        <x:f>IF(A32="","",'ADALINE Egitim'!P116)</x:f>
      </x:c>
      <x:c r="D32" t="str">
        <x:f>IF(A32="","",'ADALINE Egitim'!Q116)</x:f>
      </x:c>
      <x:c r="E32" t="str">
        <x:f>IF(A32="","",'ADALINE Egitim'!R116)</x:f>
      </x:c>
      <x:c r="F32" t="str">
        <x:f>IF(A32="","",SUMIF('Perceptron Egitim'!$B$5:$B$124,A32,'Perceptron Egitim'!$L$5:$L$124))</x:f>
      </x:c>
      <x:c r="G32" s="28" t="str">
        <x:f>IF(A32="","",(Parametreler!$B$10-F32)/Parametreler!$B$10)</x:f>
      </x:c>
      <x:c r="H32" t="str">
        <x:f>IF(A32="","",'Perceptron Egitim'!P116)</x:f>
      </x:c>
      <x:c r="I32" t="str">
        <x:f>IF(A32="","",'Perceptron Egitim'!Q116)</x:f>
      </x:c>
      <x:c r="J32" t="str">
        <x:f>IF(A32="","",'Perceptron Egitim'!R116)</x:f>
      </x:c>
    </x:row>
    <x:row r="33" ht="23" customHeight="1">
      <x:c r="A33" t="str">
        <x:f>IF(29&lt;=Parametreler!$B$9,29,"")</x:f>
      </x:c>
      <x:c r="B33" t="str">
        <x:f>IF(A33="","",SUMIF('ADALINE Egitim'!$B$5:$B$124,A33,'ADALINE Egitim'!$L$5:$L$124)/Parametreler!$B$10)</x:f>
      </x:c>
      <x:c r="C33" t="str">
        <x:f>IF(A33="","",'ADALINE Egitim'!P120)</x:f>
      </x:c>
      <x:c r="D33" t="str">
        <x:f>IF(A33="","",'ADALINE Egitim'!Q120)</x:f>
      </x:c>
      <x:c r="E33" t="str">
        <x:f>IF(A33="","",'ADALINE Egitim'!R120)</x:f>
      </x:c>
      <x:c r="F33" t="str">
        <x:f>IF(A33="","",SUMIF('Perceptron Egitim'!$B$5:$B$124,A33,'Perceptron Egitim'!$L$5:$L$124))</x:f>
      </x:c>
      <x:c r="G33" s="28" t="str">
        <x:f>IF(A33="","",(Parametreler!$B$10-F33)/Parametreler!$B$10)</x:f>
      </x:c>
      <x:c r="H33" t="str">
        <x:f>IF(A33="","",'Perceptron Egitim'!P120)</x:f>
      </x:c>
      <x:c r="I33" t="str">
        <x:f>IF(A33="","",'Perceptron Egitim'!Q120)</x:f>
      </x:c>
      <x:c r="J33" t="str">
        <x:f>IF(A33="","",'Perceptron Egitim'!R120)</x:f>
      </x:c>
    </x:row>
    <x:row r="34" ht="23" customHeight="1">
      <x:c r="A34" t="str">
        <x:f>IF(30&lt;=Parametreler!$B$9,30,"")</x:f>
      </x:c>
      <x:c r="B34" t="str">
        <x:f>IF(A34="","",SUMIF('ADALINE Egitim'!$B$5:$B$124,A34,'ADALINE Egitim'!$L$5:$L$124)/Parametreler!$B$10)</x:f>
      </x:c>
      <x:c r="C34" t="str">
        <x:f>IF(A34="","",'ADALINE Egitim'!P124)</x:f>
      </x:c>
      <x:c r="D34" t="str">
        <x:f>IF(A34="","",'ADALINE Egitim'!Q124)</x:f>
      </x:c>
      <x:c r="E34" t="str">
        <x:f>IF(A34="","",'ADALINE Egitim'!R124)</x:f>
      </x:c>
      <x:c r="F34" t="str">
        <x:f>IF(A34="","",SUMIF('Perceptron Egitim'!$B$5:$B$124,A34,'Perceptron Egitim'!$L$5:$L$124))</x:f>
      </x:c>
      <x:c r="G34" s="28" t="str">
        <x:f>IF(A34="","",(Parametreler!$B$10-F34)/Parametreler!$B$10)</x:f>
      </x:c>
      <x:c r="H34" t="str">
        <x:f>IF(A34="","",'Perceptron Egitim'!P124)</x:f>
      </x:c>
      <x:c r="I34" t="str">
        <x:f>IF(A34="","",'Perceptron Egitim'!Q124)</x:f>
      </x:c>
      <x:c r="J34" t="str">
        <x:f>IF(A34="","",'Perceptron Egitim'!R124)</x:f>
      </x:c>
    </x:row>
  </x:sheetData>
  <x:mergeCells>
    <x:mergeCell ref="A1:L2"/>
  </x:mergeCells>
  <x:conditionalFormatting sqref="B5:B34">
    <x:cfRule type="dataBar" priority="1">
      <x:dataBar>
        <x:cfvo type="min"/>
        <x:cfvo type="max"/>
        <x:color rgb="FF21A6A8"/>
      </x:dataBar>
      <x:extLst>
        <x:ext xmlns:x14="http://schemas.microsoft.com/office/spreadsheetml/2009/9/main" uri="{B025F937-C7B1-47D3-B67F-A62EFF666E3E}">
          <x14:id>{F5C4C5C8-805C-28A3-6E73-A96A3A28FC76}</x14:id>
        </x:ext>
      </x:extLst>
    </x:cfRule>
  </x:conditionalFormatting>
  <x:conditionalFormatting sqref="F5:F34">
    <x:cfRule type="dataBar" priority="2">
      <x:dataBar>
        <x:cfvo type="min"/>
        <x:cfvo type="max"/>
        <x:color rgb="FFE3A541"/>
      </x:dataBar>
      <x:extLst>
        <x:ext xmlns:x14="http://schemas.microsoft.com/office/spreadsheetml/2009/9/main" uri="{B025F937-C7B1-47D3-B67F-A62EFF666E3E}">
          <x14:id>{57677D0D-65B5-F40C-0281-7DAD15C230CB}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5C4C5C8-805C-28A3-6E73-A96A3A28FC76}">
            <x14:dataBar gradient="1">
              <x14:cfvo type="min"/>
              <x14:cfvo type="max"/>
              <x14:fillColor rgb="FF21A6A8"/>
            </x14:dataBar>
          </x14:cfRule>
          <xm:sqref>B5:B34</xm:sqref>
        </x14:conditionalFormatting>
        <x14:conditionalFormatting>
          <x14:cfRule type="dataBar" priority="2" id="{57677D0D-65B5-F40C-0281-7DAD15C230CB}">
            <x14:dataBar gradient="1">
              <x14:cfvo type="min"/>
              <x14:cfvo type="max"/>
              <x14:fillColor rgb="FFE3A541"/>
            </x14:dataBar>
          </x14:cfRule>
          <xm:sqref>F5:F34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6" customHeight="1">
      <x:c r="A1" s="4" t="str">
        <x:v>GRAFİK PANELİ | ALGORİTMA KARŞILAŞTIRMASI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>
      <x:c r="A4" s="15" t="str">
        <x:v>GÖSTERGE</x:v>
      </x:c>
      <x:c r="B4" s="15" t="str">
        <x:v>AÇIKLAMA</x:v>
      </x:c>
    </x:row>
    <x:row r="5" ht="32" customHeight="1">
      <x:c r="A5" t="str">
        <x:v>ADALINE MSE</x:v>
      </x:c>
      <x:c r="B5" s="12" t="str">
        <x:v>Güncelleme öncesi doğrusal çıktının epoch ortalama kareli hatası.</x:v>
      </x:c>
    </x:row>
    <x:row r="6" ht="32" customHeight="1">
      <x:c r="A6" t="str">
        <x:v>Perceptron hatası</x:v>
      </x:c>
      <x:c r="B6" s="12" t="str">
        <x:v>Her epoch boyunca yanlış sınıflandırılan örnek adedi.</x:v>
      </x:c>
    </x:row>
    <x:row r="7" ht="32" customHeight="1">
      <x:c r="A7" t="str">
        <x:v>Ağırlık grafikleri</x:v>
      </x:c>
      <x:c r="B7" s="12" t="str">
        <x:v>Her epoch sonundaki öğrenilmiş w1 ve w2 değerleri.</x:v>
      </x:c>
    </x:row>
    <x:row r="8" ht="32" customHeight="1">
      <x:c r="A8" t="str">
        <x:v>Not</x:v>
      </x:c>
      <x:c r="B8" s="12" t="str">
        <x:v>MSE ile sınıflandırma hata sayısı farklı ölçeklerdedir; ayrı çizilir.</x:v>
      </x:c>
    </x:row>
  </x:sheetData>
  <x:mergeCells>
    <x:mergeCell ref="A1:P2"/>
  </x:mergeCells>
  <x:pageMargins left="0.7" right="0.7" top="0.75" bottom="0.75" header="0.3" footer="0.3"/>
  <x:drawing xmlns:r="http://schemas.openxmlformats.org/officeDocument/2006/relationships" r:id="Rf38fb5c78e1a456f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53" hidden="0" customWidth="1"/>
    <x:col min="4" max="4" width="78" hidden="0" customWidth="1"/>
    <x:col min="5" max="5" width="14" hidden="0" customWidth="1"/>
    <x:col min="6" max="6" width="14" hidden="0" customWidth="1"/>
  </x:cols>
  <x:sheetData>
    <x:row r="1" ht="26" customHeight="1">
      <x:c r="A1" s="4" t="str">
        <x:v>MATEMATİKSEL FORMÜLLER | İKİ ALGORİTMA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 ht="31" customHeight="1">
      <x:c r="A4" s="17" t="str">
        <x:v>Konu</x:v>
      </x:c>
      <x:c r="B4" s="17" t="str">
        <x:v>ADALINE</x:v>
      </x:c>
      <x:c r="C4" s="17" t="str">
        <x:v>PERCEPTRON</x:v>
      </x:c>
      <x:c r="D4" s="17" t="str">
        <x:v>Açıklama</x:v>
      </x:c>
    </x:row>
    <x:row r="5" ht="52" customHeight="1">
      <x:c r="A5" s="12" t="str">
        <x:v>Net girdi</x:v>
      </x:c>
      <x:c r="B5" s="12" t="str">
        <x:v>net = w1*x1 + w2*x2 + b</x:v>
      </x:c>
      <x:c r="C5" s="12" t="str">
        <x:v>net = w1*x1 + w2*x2 + b</x:v>
      </x:c>
      <x:c r="D5" s="12" t="str">
        <x:v>İki modelde aynı ağırlıklı giriş toplamı hesaplanır.</x:v>
      </x:c>
    </x:row>
    <x:row r="6" ht="52" customHeight="1">
      <x:c r="A6" s="12" t="str">
        <x:v>Öğrenmede çıktı</x:v>
      </x:c>
      <x:c r="B6" s="12" t="str">
        <x:v>y = net</x:v>
      </x:c>
      <x:c r="C6" s="12" t="str">
        <x:v>ŷ = +1 (net≥0), aksi halde -1</x:v>
      </x:c>
      <x:c r="D6" s="12" t="str">
        <x:v>ADALINE doğrusal çıktıyı, Perceptron sınıf tahminini esas alır.</x:v>
      </x:c>
    </x:row>
    <x:row r="7" ht="52" customHeight="1">
      <x:c r="A7" s="12" t="str">
        <x:v>Hata</x:v>
      </x:c>
      <x:c r="B7" s="12" t="str">
        <x:v>e = t - y</x:v>
      </x:c>
      <x:c r="C7" s="12" t="str">
        <x:v>yanlış = 1 (ŷ≠t), aksi halde 0</x:v>
      </x:c>
      <x:c r="D7" s="12" t="str">
        <x:v>Her algoritmanın eğitim sinyali farklıdır.</x:v>
      </x:c>
    </x:row>
    <x:row r="8" ht="52" customHeight="1">
      <x:c r="A8" s="12" t="str">
        <x:v>Ağırlık güncelleme</x:v>
      </x:c>
      <x:c r="B8" s="12" t="str">
        <x:v>w_i ← w_i + η*(t-y)*x_i</x:v>
      </x:c>
      <x:c r="C8" s="12" t="str">
        <x:v>Yanlışsa: w_i ← w_i + η*t*x_i</x:v>
      </x:c>
      <x:c r="D8" s="12" t="str">
        <x:v>Perceptron yalnız hatalı sınıflandırmada güncellenir.</x:v>
      </x:c>
    </x:row>
    <x:row r="9" ht="52" customHeight="1">
      <x:c r="A9" s="12" t="str">
        <x:v>Bias güncelleme</x:v>
      </x:c>
      <x:c r="B9" s="12" t="str">
        <x:v>b ← b + η*(t-y)</x:v>
      </x:c>
      <x:c r="C9" s="12" t="str">
        <x:v>Yanlışsa: b ← b + η*t</x:v>
      </x:c>
      <x:c r="D9" s="12" t="str">
        <x:v>Bias bağımsız terimdir; x0=1 olarak düşünülebilir.</x:v>
      </x:c>
    </x:row>
    <x:row r="10" ht="52" customHeight="1">
      <x:c r="A10" s="12" t="str">
        <x:v>Kareli hata</x:v>
      </x:c>
      <x:c r="B10" s="12" t="str">
        <x:v>(t-y)^2</x:v>
      </x:c>
      <x:c r="C10" s="12" t="str">
        <x:v>Uygulanmaz</x:v>
      </x:c>
      <x:c r="D10" s="12" t="str">
        <x:v>ADALINE hata fonksiyonunu doğrusal çıkışa göre optimize eder.</x:v>
      </x:c>
    </x:row>
    <x:row r="11" ht="52" customHeight="1">
      <x:c r="A11" s="12" t="str">
        <x:v>Epoch MSE</x:v>
      </x:c>
      <x:c r="B11" s="12" t="str">
        <x:v>Σ (t-y)^2 / N</x:v>
      </x:c>
      <x:c r="C11" s="12" t="str">
        <x:v>Uygulanmaz</x:v>
      </x:c>
      <x:c r="D11" s="12" t="str">
        <x:v>Bu çalışma online adımlardaki güncelleme öncesi hataları ortalar.</x:v>
      </x:c>
    </x:row>
    <x:row r="12" ht="52" customHeight="1">
      <x:c r="A12" s="12" t="str">
        <x:v>Yanlış sayısı</x:v>
      </x:c>
      <x:c r="B12" s="12" t="str">
        <x:v>İsteğe bağlı sınıflandırma metriği</x:v>
      </x:c>
      <x:c r="C12" s="12" t="str">
        <x:v>Σ I(ŷ≠t)</x:v>
      </x:c>
      <x:c r="D12" s="12" t="str">
        <x:v>Perceptron eğitim satırlarında hatalı örnek sayılır.</x:v>
      </x:c>
    </x:row>
    <x:row r="13" ht="52" customHeight="1">
      <x:c r="A13" s="12" t="str">
        <x:v>Doğruluk</x:v>
      </x:c>
      <x:c r="B13" s="12" t="str">
        <x:v>Sınıf eşiği uygulanırsa ölçülebilir</x:v>
      </x:c>
      <x:c r="C13" s="12" t="str">
        <x:v>(N-yanlış sayısı)/N</x:v>
      </x:c>
      <x:c r="D13" s="12" t="str">
        <x:v>Sınıflandırma başarımıdır; MSE ile aynı metrik değildir.</x:v>
      </x:c>
    </x:row>
    <x:row r="14" ht="52" customHeight="1">
      <x:c r="A14" s="12" t="str">
        <x:v>Eşik kuralı</x:v>
      </x:c>
      <x:c r="B14" s="12" t="str">
        <x:v>net ≥ 0 → +1, aksi -1 (değerlendirmede)</x:v>
      </x:c>
      <x:c r="C14" s="12" t="str">
        <x:v>net ≥ 0 → +1, aksi -1</x:v>
      </x:c>
      <x:c r="D14" s="12" t="str">
        <x:v>İki modelin sınıflandırma kararları aynı eşikle değerlendirilebilir.</x:v>
      </x:c>
    </x:row>
    <x:row r="15" ht="52" customHeight="1">
      <x:c r="A15" s="12" t="str">
        <x:v>Epoch</x:v>
      </x:c>
      <x:c r="B15" s="12" t="str">
        <x:v>Tüm N örneğin bir kez işlenmesi</x:v>
      </x:c>
      <x:c r="C15" s="12" t="str">
        <x:v>Tüm N örneğin bir kez işlenmesi</x:v>
      </x:c>
      <x:c r="D15" s="12" t="str">
        <x:v>Örnek sırası eğitim sırasında sabittir.</x:v>
      </x:c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1" hidden="0" customWidth="1"/>
    <x:col min="4" max="4" width="88" hidden="0" customWidth="1"/>
    <x:col min="5" max="5" width="14" hidden="0" customWidth="1"/>
    <x:col min="6" max="6" width="14" hidden="0" customWidth="1"/>
  </x:cols>
  <x:sheetData>
    <x:row r="1" ht="26" customHeight="1">
      <x:c r="A1" s="4" t="str">
        <x:v>TEKNİK TERİMLER SÖZLÜĞÜ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 ht="31" customHeight="1">
      <x:c r="A4" s="17" t="str">
        <x:v>No</x:v>
      </x:c>
      <x:c r="B4" s="17" t="str">
        <x:v>Teknik terim</x:v>
      </x:c>
      <x:c r="C4" s="17" t="str">
        <x:v>İngilizce / eş anlam</x:v>
      </x:c>
      <x:c r="D4" s="17" t="str">
        <x:v>Açıklama</x:v>
      </x:c>
    </x:row>
    <x:row r="5" ht="42" customHeight="1">
      <x:c r="A5" t="n">
        <x:v>1</x:v>
      </x:c>
      <x:c r="B5" t="str">
        <x:v>ADALINE</x:v>
      </x:c>
      <x:c r="C5" t="str">
        <x:v>Adaptive Linear Neuron</x:v>
      </x:c>
      <x:c r="D5" s="12" t="str">
        <x:v>Doğrusal çıktı üzerinden hata hesaplayan uyarlanabilir nöron.</x:v>
      </x:c>
    </x:row>
    <x:row r="6" ht="42" customHeight="1">
      <x:c r="A6" t="n">
        <x:v>2</x:v>
      </x:c>
      <x:c r="B6" t="str">
        <x:v>Perceptron</x:v>
      </x:c>
      <x:c r="C6" t="str">
        <x:v>Algılayıcı</x:v>
      </x:c>
      <x:c r="D6" s="12" t="str">
        <x:v>Eşiklenmiş sınıf tahminine göre ağırlık güncelleyen doğrusal sınıflandırıcı.</x:v>
      </x:c>
    </x:row>
    <x:row r="7" ht="42" customHeight="1">
      <x:c r="A7" t="n">
        <x:v>3</x:v>
      </x:c>
      <x:c r="B7" t="str">
        <x:v>Widrow–Hoff</x:v>
      </x:c>
      <x:c r="C7" t="str">
        <x:v>LMS kuralı</x:v>
      </x:c>
      <x:c r="D7" s="12" t="str">
        <x:v>ADALINE ağırlıklarını doğrusal çıktı hatası ile günceller.</x:v>
      </x:c>
    </x:row>
    <x:row r="8" ht="42" customHeight="1">
      <x:c r="A8" t="n">
        <x:v>4</x:v>
      </x:c>
      <x:c r="B8" t="str">
        <x:v>LMS</x:v>
      </x:c>
      <x:c r="C8" t="str">
        <x:v>Least Mean Squares</x:v>
      </x:c>
      <x:c r="D8" s="12" t="str">
        <x:v>Kareli hata maliyetini azaltmak için kullanılan stokastik gradyan güncellemesi.</x:v>
      </x:c>
    </x:row>
    <x:row r="9" ht="42" customHeight="1">
      <x:c r="A9" t="n">
        <x:v>5</x:v>
      </x:c>
      <x:c r="B9" t="str">
        <x:v>Bipolar</x:v>
      </x:c>
      <x:c r="C9" t="str">
        <x:v>−1 / +1</x:v>
      </x:c>
      <x:c r="D9" s="12" t="str">
        <x:v>İkili sınıfların −1 ve +1 biçiminde kodlanması.</x:v>
      </x:c>
    </x:row>
    <x:row r="10" ht="42" customHeight="1">
      <x:c r="A10" t="n">
        <x:v>6</x:v>
      </x:c>
      <x:c r="B10" t="str">
        <x:v>Bipolar AND</x:v>
      </x:c>
      <x:c r="C10" t="str">
        <x:v>Mantık veri kümesi</x:v>
      </x:c>
      <x:c r="D10" s="12" t="str">
        <x:v>Yalnız (+1,+1) girdisi hedef +1 üretir.</x:v>
      </x:c>
    </x:row>
    <x:row r="11" ht="42" customHeight="1">
      <x:c r="A11" t="n">
        <x:v>7</x:v>
      </x:c>
      <x:c r="B11" t="str">
        <x:v>x1, x2</x:v>
      </x:c>
      <x:c r="C11" t="str">
        <x:v>Giriş</x:v>
      </x:c>
      <x:c r="D11" s="12" t="str">
        <x:v>Gözlem başına iki özellik.</x:v>
      </x:c>
    </x:row>
    <x:row r="12" ht="42" customHeight="1">
      <x:c r="A12" t="n">
        <x:v>8</x:v>
      </x:c>
      <x:c r="B12" t="str">
        <x:v>t</x:v>
      </x:c>
      <x:c r="C12" t="str">
        <x:v>Hedef etiket</x:v>
      </x:c>
      <x:c r="D12" s="12" t="str">
        <x:v>Eğitim satırının beklenen sınıfı.</x:v>
      </x:c>
    </x:row>
    <x:row r="13" ht="42" customHeight="1">
      <x:c r="A13" t="n">
        <x:v>9</x:v>
      </x:c>
      <x:c r="B13" t="str">
        <x:v>w1, w2</x:v>
      </x:c>
      <x:c r="C13" t="str">
        <x:v>Ağırlıklar</x:v>
      </x:c>
      <x:c r="D13" s="12" t="str">
        <x:v>Girişlerin net toplamına etkisini belirleyen öğrenilen katsayılar.</x:v>
      </x:c>
    </x:row>
    <x:row r="14" ht="42" customHeight="1">
      <x:c r="A14" t="n">
        <x:v>10</x:v>
      </x:c>
      <x:c r="B14" t="str">
        <x:v>Bias b</x:v>
      </x:c>
      <x:c r="C14" t="str">
        <x:v>Sapma</x:v>
      </x:c>
      <x:c r="D14" s="12" t="str">
        <x:v>Net girdiyi kaydıran ve eğitimde güncellenen terim.</x:v>
      </x:c>
    </x:row>
    <x:row r="15" ht="42" customHeight="1">
      <x:c r="A15" t="n">
        <x:v>11</x:v>
      </x:c>
      <x:c r="B15" t="str">
        <x:v>η / eta</x:v>
      </x:c>
      <x:c r="C15" t="str">
        <x:v>Öğrenme oranı</x:v>
      </x:c>
      <x:c r="D15" s="12" t="str">
        <x:v>Bir öğrenme adımında değişim büyüklüğünü belirler.</x:v>
      </x:c>
    </x:row>
    <x:row r="16" ht="42" customHeight="1">
      <x:c r="A16" t="n">
        <x:v>12</x:v>
      </x:c>
      <x:c r="B16" t="str">
        <x:v>Net girdi</x:v>
      </x:c>
      <x:c r="C16" t="str">
        <x:v>Ağırlıklı toplam</x:v>
      </x:c>
      <x:c r="D16" s="12" t="str">
        <x:v>w1*x1+w2*x2+b.</x:v>
      </x:c>
    </x:row>
    <x:row r="17" ht="42" customHeight="1">
      <x:c r="A17" t="n">
        <x:v>13</x:v>
      </x:c>
      <x:c r="B17" t="str">
        <x:v>Doğrusal çıktı y</x:v>
      </x:c>
      <x:c r="C17" t="str">
        <x:v>ADALINE çıktısı</x:v>
      </x:c>
      <x:c r="D17" s="12" t="str">
        <x:v>Eşik uygulanmadan elde edilen sayısal tahmin.</x:v>
      </x:c>
    </x:row>
    <x:row r="18" ht="42" customHeight="1">
      <x:c r="A18" t="n">
        <x:v>14</x:v>
      </x:c>
      <x:c r="B18" t="str">
        <x:v>Tahmin ŷ</x:v>
      </x:c>
      <x:c r="C18" t="str">
        <x:v>Sınıf çıktısı</x:v>
      </x:c>
      <x:c r="D18" s="12" t="str">
        <x:v>Net girdinin eşiklenmesiyle elde edilen +1 veya −1.</x:v>
      </x:c>
    </x:row>
    <x:row r="19" ht="42" customHeight="1">
      <x:c r="A19" t="n">
        <x:v>15</x:v>
      </x:c>
      <x:c r="B19" t="str">
        <x:v>Hata e</x:v>
      </x:c>
      <x:c r="C19" t="str">
        <x:v>Residual</x:v>
      </x:c>
      <x:c r="D19" s="12" t="str">
        <x:v>ADALINE için hedef ile doğrusal çıktı farkı: t−y.</x:v>
      </x:c>
    </x:row>
    <x:row r="20" ht="42" customHeight="1">
      <x:c r="A20" t="n">
        <x:v>16</x:v>
      </x:c>
      <x:c r="B20" t="str">
        <x:v>Hata karesi</x:v>
      </x:c>
      <x:c r="C20" t="str">
        <x:v>Squared error</x:v>
      </x:c>
      <x:c r="D20" s="12" t="str">
        <x:v>(t−y)^2; yüksek mutlak hatayı daha fazla cezalandırır.</x:v>
      </x:c>
    </x:row>
    <x:row r="21" ht="42" customHeight="1">
      <x:c r="A21" t="n">
        <x:v>17</x:v>
      </x:c>
      <x:c r="B21" t="str">
        <x:v>MSE</x:v>
      </x:c>
      <x:c r="C21" t="str">
        <x:v>Mean Squared Error</x:v>
      </x:c>
      <x:c r="D21" s="12" t="str">
        <x:v>Kareli hataların aritmetik ortalaması.</x:v>
      </x:c>
    </x:row>
    <x:row r="22" ht="42" customHeight="1">
      <x:c r="A22" t="n">
        <x:v>18</x:v>
      </x:c>
      <x:c r="B22" t="str">
        <x:v>Online öğrenme</x:v>
      </x:c>
      <x:c r="C22" t="str">
        <x:v>Örnek bazlı güncelleme</x:v>
      </x:c>
      <x:c r="D22" s="12" t="str">
        <x:v>Her eğitim örneğinden sonra ağırlıkların güncellenmesi.</x:v>
      </x:c>
    </x:row>
    <x:row r="23" ht="42" customHeight="1">
      <x:c r="A23" t="n">
        <x:v>19</x:v>
      </x:c>
      <x:c r="B23" t="str">
        <x:v>Epoch</x:v>
      </x:c>
      <x:c r="C23" t="str">
        <x:v>Tam veri geçişi</x:v>
      </x:c>
      <x:c r="D23" s="12" t="str">
        <x:v>Bütün örneklerin bir kez işlendiği eğitim turu.</x:v>
      </x:c>
    </x:row>
    <x:row r="24" ht="42" customHeight="1">
      <x:c r="A24" t="n">
        <x:v>20</x:v>
      </x:c>
      <x:c r="B24" t="str">
        <x:v>İterasyon</x:v>
      </x:c>
      <x:c r="C24" t="str">
        <x:v>Tek eğitim adımı</x:v>
      </x:c>
      <x:c r="D24" s="12" t="str">
        <x:v>Bir örneğin işlenip parametrelerin gerekirse değiştiği adım.</x:v>
      </x:c>
    </x:row>
    <x:row r="25" ht="42" customHeight="1">
      <x:c r="A25" t="n">
        <x:v>21</x:v>
      </x:c>
      <x:c r="B25" t="str">
        <x:v>Δw1 / Δw2</x:v>
      </x:c>
      <x:c r="C25" t="str">
        <x:v>Ağırlık değişimi</x:v>
      </x:c>
      <x:c r="D25" s="12" t="str">
        <x:v>Önceki ve sonraki ağırlık arasındaki fark.</x:v>
      </x:c>
    </x:row>
    <x:row r="26" ht="42" customHeight="1">
      <x:c r="A26" t="n">
        <x:v>22</x:v>
      </x:c>
      <x:c r="B26" t="str">
        <x:v>Δbias</x:v>
      </x:c>
      <x:c r="C26" t="str">
        <x:v>Bias değişimi</x:v>
      </x:c>
      <x:c r="D26" s="12" t="str">
        <x:v>Öğrenme kuralının bias üzerinde yarattığı değişim.</x:v>
      </x:c>
    </x:row>
    <x:row r="27" ht="42" customHeight="1">
      <x:c r="A27" t="n">
        <x:v>23</x:v>
      </x:c>
      <x:c r="B27" t="str">
        <x:v>Sınıflandırma hatası</x:v>
      </x:c>
      <x:c r="C27" t="str">
        <x:v>Yanlış örnek</x:v>
      </x:c>
      <x:c r="D27" s="12" t="str">
        <x:v>Tahmin edilen etiket hedefe eşit değilse 1.</x:v>
      </x:c>
    </x:row>
    <x:row r="28" ht="42" customHeight="1">
      <x:c r="A28" t="n">
        <x:v>24</x:v>
      </x:c>
      <x:c r="B28" t="str">
        <x:v>Doğruluk</x:v>
      </x:c>
      <x:c r="C28" t="str">
        <x:v>Accuracy</x:v>
      </x:c>
      <x:c r="D28" s="12" t="str">
        <x:v>Doğru sınıflandırılan örnek yüzdesi.</x:v>
      </x:c>
    </x:row>
    <x:row r="29" ht="42" customHeight="1">
      <x:c r="A29" t="n">
        <x:v>25</x:v>
      </x:c>
      <x:c r="B29" t="str">
        <x:v>Eşik</x:v>
      </x:c>
      <x:c r="C29" t="str">
        <x:v>Threshold</x:v>
      </x:c>
      <x:c r="D29" s="12" t="str">
        <x:v>Net≥0 ise +1, değilse −1 sınıfına karar verir.</x:v>
      </x:c>
    </x:row>
    <x:row r="30" ht="42" customHeight="1">
      <x:c r="A30" t="n">
        <x:v>26</x:v>
      </x:c>
      <x:c r="B30" t="str">
        <x:v>Yakınsama</x:v>
      </x:c>
      <x:c r="C30" t="str">
        <x:v>Convergence</x:v>
      </x:c>
      <x:c r="D30" s="12" t="str">
        <x:v>Ağırlıkların veya performansın kararlı bir düzeye yaklaşması.</x:v>
      </x:c>
    </x:row>
    <x:row r="31" ht="42" customHeight="1">
      <x:c r="A31" t="n">
        <x:v>27</x:v>
      </x:c>
      <x:c r="B31" t="str">
        <x:v>Doğrusal ayrılabilirlik</x:v>
      </x:c>
      <x:c r="C31" t="str">
        <x:v>Linear separability</x:v>
      </x:c>
      <x:c r="D31" s="12" t="str">
        <x:v>İki sınıfın bir doğru/hiperdüzlemle ayrılabilmesi.</x:v>
      </x:c>
    </x:row>
    <x:row r="32" ht="42" customHeight="1">
      <x:c r="A32" t="n">
        <x:v>28</x:v>
      </x:c>
      <x:c r="B32" t="str">
        <x:v>Gradyan inişi</x:v>
      </x:c>
      <x:c r="C32" t="str">
        <x:v>Gradient descent</x:v>
      </x:c>
      <x:c r="D32" s="12" t="str">
        <x:v>Kayıp fonksiyonunu azaltan güncelleme yönünü kullanma.</x:v>
      </x:c>
    </x:row>
    <x:row r="33" ht="42" customHeight="1">
      <x:c r="A33" t="n">
        <x:v>29</x:v>
      </x:c>
      <x:c r="B33" t="str">
        <x:v>Başlangıç ağırlıkları</x:v>
      </x:c>
      <x:c r="C33" t="str">
        <x:v>Initialization</x:v>
      </x:c>
      <x:c r="D33" s="12" t="str">
        <x:v>Eğitim başlamadan önce belirlenen w1, w2 ve bias.</x:v>
      </x:c>
    </x:row>
    <x:row r="34" ht="42" customHeight="1">
      <x:c r="A34" t="n">
        <x:v>30</x:v>
      </x:c>
      <x:c r="B34" t="str">
        <x:v>Metrik</x:v>
      </x:c>
      <x:c r="C34" t="str">
        <x:v>Performance measure</x:v>
      </x:c>
      <x:c r="D34" s="12" t="str">
        <x:v>Modeli değerlendirmek için kullanılan sayısal ölçü.</x:v>
      </x:c>
    </x:row>
    <x:row r="35" ht="42" customHeight="1">
      <x:c r="A35" t="n">
        <x:v>31</x:v>
      </x:c>
      <x:c r="B35" t="str">
        <x:v>Sabit örnek sırası</x:v>
      </x:c>
      <x:c r="C35" t="str">
        <x:v>Fixed sample order</x:v>
      </x:c>
      <x:c r="D35" s="12" t="str">
        <x:v>Her epoch boyunca örneklerin aynı sırada işlenmesi.</x:v>
      </x:c>
    </x:row>
    <x:row r="36" ht="42" customHeight="1">
      <x:c r="A36" t="n">
        <x:v>32</x:v>
      </x:c>
      <x:c r="B36" t="str">
        <x:v>Karar sınırı</x:v>
      </x:c>
      <x:c r="C36" t="str">
        <x:v>Decision boundary</x:v>
      </x:c>
      <x:c r="D36" s="12" t="str">
        <x:v>w1*x1+w2*x2+b=0 doğrusu.</x:v>
      </x:c>
    </x:row>
    <x:row r="37" ht="42" customHeight="1">
      <x:c r="A37" t="n">
        <x:v>33</x:v>
      </x:c>
      <x:c r="B37" t="str">
        <x:v>Sıfır MSE</x:v>
      </x:c>
      <x:c r="C37" t="str">
        <x:v>Zero squared error</x:v>
      </x:c>
      <x:c r="D37" s="12" t="str">
        <x:v>Doğrusal çıktıların bütün hedef değerlerine tam eşit olması.</x:v>
      </x:c>
    </x:row>
    <x:row r="38" ht="42" customHeight="1">
      <x:c r="A38" t="n">
        <x:v>34</x:v>
      </x:c>
      <x:c r="B38" t="str">
        <x:v>Sıfır sınıf hatası</x:v>
      </x:c>
      <x:c r="C38" t="str">
        <x:v>Perfect classification</x:v>
      </x:c>
      <x:c r="D38" s="12" t="str">
        <x:v>Tüm örneklerin doğru sınıf tahmini alması.</x:v>
      </x:c>
    </x:row>
    <x:row r="39" ht="42" customHeight="1">
      <x:c r="A39" t="n">
        <x:v>35</x:v>
      </x:c>
      <x:c r="B39" t="str">
        <x:v>Genelleme</x:v>
      </x:c>
      <x:c r="C39" t="str">
        <x:v>Generalization</x:v>
      </x:c>
      <x:c r="D39" s="12" t="str">
        <x:v>Eğitim dışında daha önce görülmemiş verilere uyum.</x:v>
      </x:c>
    </x:row>
    <x:row r="40" ht="42" customHeight="1">
      <x:c r="A40" t="n">
        <x:v>36</x:v>
      </x:c>
      <x:c r="B40" t="str">
        <x:v>Excel INDEX</x:v>
      </x:c>
      <x:c r="C40" t="str">
        <x:v>İndeks işlevi</x:v>
      </x:c>
      <x:c r="D40" s="12" t="str">
        <x:v>Veri kümesinden belirtilen sıradaki örneği çeker.</x:v>
      </x:c>
    </x:row>
    <x:row r="41" ht="42" customHeight="1">
      <x:c r="A41" t="n">
        <x:v>37</x:v>
      </x:c>
      <x:c r="B41" t="str">
        <x:v>Excel MOD</x:v>
      </x:c>
      <x:c r="C41" t="str">
        <x:v>Kalan işlevi</x:v>
      </x:c>
      <x:c r="D41" s="12" t="str">
        <x:v>Eğitim sırasındaki örnek numarasını döndürür.</x:v>
      </x:c>
    </x:row>
    <x:row r="42" ht="42" customHeight="1">
      <x:c r="A42" t="n">
        <x:v>38</x:v>
      </x:c>
      <x:c r="B42" t="str">
        <x:v>Excel SUMIF</x:v>
      </x:c>
      <x:c r="C42" t="str">
        <x:v>Koşullu toplam</x:v>
      </x:c>
      <x:c r="D42" s="12" t="str">
        <x:v>Aynı epoch'un hata veya hata karelerini toplar.</x:v>
      </x:c>
    </x:row>
    <x:row r="43" ht="42" customHeight="1">
      <x:c r="A43" t="n">
        <x:v>39</x:v>
      </x:c>
      <x:c r="B43" t="str">
        <x:v>Mutlak başvuru $</x:v>
      </x:c>
      <x:c r="C43" t="str">
        <x:v>Absolute reference</x:v>
      </x:c>
      <x:c r="D43" s="12" t="str">
        <x:v>Parametre adresini aşağı kopyalanan formüllerde sabit tutar.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7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4" t="str">
        <x:v>ELLE KONTROL | İLK ÖĞRENME ADIMI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31" customHeight="1">
      <x:c r="A4" s="17" t="str">
        <x:v>Değişken</x:v>
      </x:c>
      <x:c r="B4" s="17" t="str">
        <x:v>Değer / Excel formülü</x:v>
      </x:c>
      <x:c r="C4" s="17" t="str">
        <x:v>Açıklama</x:v>
      </x:c>
    </x:row>
    <x:row r="5">
      <x:c r="A5" t="str">
        <x:v>x1</x:v>
      </x:c>
      <x:c r="B5" s="26" t="n">
        <x:f>'Veri Kumesi'!B5</x:f>
        <x:v>-1</x:v>
      </x:c>
      <x:c r="C5" t="str">
        <x:v>İlk örneğin x1 değeri</x:v>
      </x:c>
    </x:row>
    <x:row r="6">
      <x:c r="A6" t="str">
        <x:v>x2</x:v>
      </x:c>
      <x:c r="B6" s="26" t="n">
        <x:f>'Veri Kumesi'!C5</x:f>
        <x:v>-1</x:v>
      </x:c>
      <x:c r="C6" t="str">
        <x:v>İlk örneğin x2 değeri</x:v>
      </x:c>
    </x:row>
    <x:row r="7">
      <x:c r="A7" t="str">
        <x:v>Hedef t</x:v>
      </x:c>
      <x:c r="B7" s="26" t="n">
        <x:f>'Veri Kumesi'!D5</x:f>
        <x:v>-1</x:v>
      </x:c>
      <x:c r="C7" t="str">
        <x:v>İlk örneğin hedefi</x:v>
      </x:c>
    </x:row>
    <x:row r="8">
      <x:c r="A8" t="str">
        <x:v>Başlangıç w1</x:v>
      </x:c>
      <x:c r="B8" s="26" t="n">
        <x:f>Parametreler!B6</x:f>
        <x:v>0</x:v>
      </x:c>
      <x:c r="C8" t="str">
        <x:v>Başlangıç ağırlığı</x:v>
      </x:c>
    </x:row>
    <x:row r="9">
      <x:c r="A9" t="str">
        <x:v>Başlangıç w2</x:v>
      </x:c>
      <x:c r="B9" s="26" t="n">
        <x:f>Parametreler!B7</x:f>
        <x:v>0</x:v>
      </x:c>
      <x:c r="C9" t="str">
        <x:v>Başlangıç ağırlığı</x:v>
      </x:c>
    </x:row>
    <x:row r="10">
      <x:c r="A10" t="str">
        <x:v>Başlangıç bias</x:v>
      </x:c>
      <x:c r="B10" s="26" t="n">
        <x:f>Parametreler!B8</x:f>
        <x:v>0</x:v>
      </x:c>
      <x:c r="C10" t="str">
        <x:v>Başlangıç bias</x:v>
      </x:c>
    </x:row>
    <x:row r="11">
      <x:c r="A11" t="str">
        <x:v>Öğrenme oranı</x:v>
      </x:c>
      <x:c r="B11" s="26" t="n">
        <x:f>Parametreler!B5</x:f>
        <x:v>0.1</x:v>
      </x:c>
      <x:c r="C11" t="str">
        <x:v>Eta</x:v>
      </x:c>
    </x:row>
    <x:row r="12">
      <x:c r="A12" t="str">
        <x:v>Net / doğrusal çıktı</x:v>
      </x:c>
      <x:c r="B12" s="26" t="n">
        <x:f>B8*B5+B9*B6+B10</x:f>
        <x:v>0</x:v>
      </x:c>
      <x:c r="C12" t="str">
        <x:v>Başlangıçtaki ortak net girdi</x:v>
      </x:c>
    </x:row>
    <x:row r="13">
      <x:c r="A13" t="str">
        <x:v>ADALINE hatası</x:v>
      </x:c>
      <x:c r="B13" s="26" t="n">
        <x:f>B7-B12</x:f>
        <x:v>-1</x:v>
      </x:c>
      <x:c r="C13" t="str">
        <x:v>t − y</x:v>
      </x:c>
    </x:row>
    <x:row r="14">
      <x:c r="A14" t="str">
        <x:v>ADALINE Δw1</x:v>
      </x:c>
      <x:c r="B14" s="26" t="n">
        <x:f>B11*B13*B5</x:f>
        <x:v>0.1</x:v>
      </x:c>
      <x:c r="C14" t="str">
        <x:v>eta * hata * x1</x:v>
      </x:c>
    </x:row>
    <x:row r="15">
      <x:c r="A15" t="str">
        <x:v>ADALINE yeni w1</x:v>
      </x:c>
      <x:c r="B15" s="26" t="n">
        <x:f>B8+B14</x:f>
        <x:v>0.1</x:v>
      </x:c>
      <x:c r="C15" t="str">
        <x:v>Önceki ağırlık + değişim</x:v>
      </x:c>
    </x:row>
    <x:row r="16">
      <x:c r="A16" t="str">
        <x:v>Perceptron tahmin</x:v>
      </x:c>
      <x:c r="B16" s="26" t="n">
        <x:f>IF(B12&gt;=Parametreler!B11,1,-1)</x:f>
        <x:v>1</x:v>
      </x:c>
      <x:c r="C16" t="str">
        <x:v>Net üzerinden sınıf tahmini</x:v>
      </x:c>
    </x:row>
    <x:row r="17">
      <x:c r="A17" t="str">
        <x:v>Perceptron yanlış?</x:v>
      </x:c>
      <x:c r="B17" s="26" t="n">
        <x:f>IF(B16=B7,0,1)</x:f>
        <x:v>1</x:v>
      </x:c>
      <x:c r="C17" t="str">
        <x:v>0=doğru, 1=yanlış</x:v>
      </x:c>
    </x:row>
    <x:row r="18">
      <x:c r="A18" t="str">
        <x:v>Perceptron Δw1</x:v>
      </x:c>
      <x:c r="B18" s="26" t="n">
        <x:f>B11*B17*B7*B5</x:f>
        <x:v>0.1</x:v>
      </x:c>
      <x:c r="C18" t="str">
        <x:v>eta * yanlış * hedef * x1</x:v>
      </x:c>
    </x:row>
    <x:row r="19">
      <x:c r="A19" t="str">
        <x:v>Perceptron yeni w1</x:v>
      </x:c>
      <x:c r="B19" s="26" t="n">
        <x:f>B8+B18</x:f>
        <x:v>0.1</x:v>
      </x:c>
      <x:c r="C19" t="str">
        <x:v>Önceki ağırlık + değişim</x:v>
      </x:c>
    </x:row>
  </x:sheetData>
  <x:mergeCells>
    <x:mergeCell ref="A1:H2"/>
  </x:mergeCells>
  <x:pageMargins left="0.7" right="0.7" top="0.75" bottom="0.75" header="0.3" footer="0.3"/>
</x:worksheet>
</file>