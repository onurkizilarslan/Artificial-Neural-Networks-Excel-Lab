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0e902b819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39d9d5923d84d3c"/>
    <x:sheet xmlns:r="http://schemas.openxmlformats.org/officeDocument/2006/relationships" name="Parameters" sheetId="2" r:id="Rdd2daaf35ebd4edf"/>
    <x:sheet xmlns:r="http://schemas.openxmlformats.org/officeDocument/2006/relationships" name="Dataset" sheetId="3" r:id="R95507c92ad74444a"/>
    <x:sheet xmlns:r="http://schemas.openxmlformats.org/officeDocument/2006/relationships" name="Training" sheetId="4" r:id="R591a9af99c084757"/>
    <x:sheet xmlns:r="http://schemas.openxmlformats.org/officeDocument/2006/relationships" name="Epoch Analysis" sheetId="5" r:id="Re79b0713278f46e2"/>
    <x:sheet xmlns:r="http://schemas.openxmlformats.org/officeDocument/2006/relationships" name="Formulas" sheetId="6" r:id="R20184efd3b3d41b7"/>
    <x:sheet xmlns:r="http://schemas.openxmlformats.org/officeDocument/2006/relationships" name="Glossary" sheetId="7" r:id="R0558a252dce5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07F86"/>
      </x:patternFill>
    </x:fill>
    <x:fill>
      <x:patternFill patternType="solid">
        <x:fgColor rgb="FFFFF1A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491ba90d541db" /><Relationship Type="http://schemas.openxmlformats.org/officeDocument/2006/relationships/theme" Target="/xl/theme/theme1.xml" Id="R251a348a97ce4349" /><Relationship Type="http://schemas.openxmlformats.org/officeDocument/2006/relationships/sharedStrings" Target="/xl/sharedStrings.xml" Id="R3a525dbdf6e34bc4" /><Relationship Type="http://schemas.openxmlformats.org/officeDocument/2006/relationships/worksheet" Target="/xl/worksheets/sheet1.xml" Id="R639d9d5923d84d3c" /><Relationship Type="http://schemas.openxmlformats.org/officeDocument/2006/relationships/worksheet" Target="/xl/worksheets/sheet2.xml" Id="Rdd2daaf35ebd4edf" /><Relationship Type="http://schemas.openxmlformats.org/officeDocument/2006/relationships/worksheet" Target="/xl/worksheets/sheet3.xml" Id="R95507c92ad74444a" /><Relationship Type="http://schemas.openxmlformats.org/officeDocument/2006/relationships/worksheet" Target="/xl/worksheets/sheet4.xml" Id="R591a9af99c084757" /><Relationship Type="http://schemas.openxmlformats.org/officeDocument/2006/relationships/worksheet" Target="/xl/worksheets/sheet5.xml" Id="Re79b0713278f46e2" /><Relationship Type="http://schemas.openxmlformats.org/officeDocument/2006/relationships/worksheet" Target="/xl/worksheets/sheet6.xml" Id="R20184efd3b3d41b7" /><Relationship Type="http://schemas.openxmlformats.org/officeDocument/2006/relationships/worksheet" Target="/xl/worksheets/sheet7.xml" Id="R0558a252dce54f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176938fbde43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Learning curve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Online MSE</c:v>
          </c:tx>
          <c:marker>
            <c:symbol val="none"/>
          </c:marker>
          <c:cat>
            <c:strRef>
              <c:f>'Epoch Analysis'!$A$5:$A$24</c:f>
              <c:strCache>
                <c:ptCount val="0"/>
              </c:strCache>
            </c:strRef>
          </c:cat>
          <c:val>
            <c:numRef>
              <c:f>'Epoch Analysis'!$B$5:$B$24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76938fbde43f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04885207b0b449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91" hidden="0" customWidth="1"/>
  </x:cols>
  <x:sheetData>
    <x:row r="1" ht="26" customHeight="1">
      <x:c r="A1" s="3" t="str">
        <x:v>ADALINE | INTERACTIVE EXCEL LEARNING LAB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>
      <x:c r="A4" t="str">
        <x:v>Purpose</x:v>
      </x:c>
      <x:c r="B4" t="str">
        <x:v>Explore neural-network learning using spreadsheet formulas.</x:v>
      </x:c>
    </x:row>
    <x:row r="5">
      <x:c r="A5" t="str">
        <x:v>Dataset</x:v>
      </x:c>
      <x:c r="B5" t="str">
        <x:v>Bipolar AND with four examples (-1 / +1).</x:v>
      </x:c>
    </x:row>
    <x:row r="6">
      <x:c r="A6" t="str">
        <x:v>How to use</x:v>
      </x:c>
      <x:c r="B6" t="str">
        <x:v>Change yellow inputs on the Parameters sheet.</x:v>
      </x:c>
    </x:row>
    <x:row r="7">
      <x:c r="A7" t="str">
        <x:v>Step 1</x:v>
      </x:c>
      <x:c r="B7" t="str">
        <x:v>Review the common training dataset.</x:v>
      </x:c>
    </x:row>
    <x:row r="8">
      <x:c r="A8" t="str">
        <x:v>Step 2</x:v>
      </x:c>
      <x:c r="B8" t="str">
        <x:v>Follow every online learning update on Training.</x:v>
      </x:c>
    </x:row>
    <x:row r="9">
      <x:c r="A9" t="str">
        <x:v>Step 3</x:v>
      </x:c>
      <x:c r="B9" t="str">
        <x:v>Compare the changes in Epoch Analysis.</x:v>
      </x:c>
    </x:row>
    <x:row r="10">
      <x:c r="A10" t="str">
        <x:v>Step 4</x:v>
      </x:c>
      <x:c r="B10" t="str">
        <x:v>Read Formulas and Glossary for technical background.</x:v>
      </x:c>
    </x:row>
    <x:row r="11">
      <x:c r="A11" t="str">
        <x:v>Learning rule</x:v>
      </x:c>
      <x:c r="B11" t="str">
        <x:v>ADALINE uses linear residuals; Perceptron updates only on mistakes.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60" hidden="0" customWidth="1"/>
  </x:cols>
  <x:sheetData>
    <x:row r="1" ht="26" customHeight="1">
      <x:c r="A1" s="3" t="str">
        <x:v>MODEL PARAMETERS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27" customHeight="1">
      <x:c r="A4" s="7" t="str">
        <x:v>Parameter</x:v>
      </x:c>
      <x:c r="B4" s="7" t="str">
        <x:v>Value</x:v>
      </x:c>
      <x:c r="C4" s="7" t="str">
        <x:v>Explanation</x:v>
      </x:c>
    </x:row>
    <x:row r="5">
      <x:c r="A5" t="str">
        <x:v>Learning rate η</x:v>
      </x:c>
      <x:c r="B5" s="10" t="n">
        <x:v>0.1</x:v>
      </x:c>
      <x:c r="C5" t="str">
        <x:v>Editable; keep positive and moderate.</x:v>
      </x:c>
    </x:row>
    <x:row r="6">
      <x:c r="A6" t="str">
        <x:v>Initial w1</x:v>
      </x:c>
      <x:c r="B6" s="10" t="n">
        <x:v>0</x:v>
      </x:c>
      <x:c r="C6" t="str">
        <x:v>Initial first input weight.</x:v>
      </x:c>
    </x:row>
    <x:row r="7">
      <x:c r="A7" t="str">
        <x:v>Initial w2</x:v>
      </x:c>
      <x:c r="B7" s="10" t="n">
        <x:v>0</x:v>
      </x:c>
      <x:c r="C7" t="str">
        <x:v>Initial second input weight.</x:v>
      </x:c>
    </x:row>
    <x:row r="8">
      <x:c r="A8" t="str">
        <x:v>Initial bias</x:v>
      </x:c>
      <x:c r="B8" s="10" t="n">
        <x:v>0</x:v>
      </x:c>
      <x:c r="C8" t="str">
        <x:v>Trainable intercept.</x:v>
      </x:c>
    </x:row>
    <x:row r="9">
      <x:c r="A9" t="str">
        <x:v>Epochs</x:v>
      </x:c>
      <x:c r="B9" t="n">
        <x:v>20</x:v>
      </x:c>
      <x:c r="C9" t="str">
        <x:v>20 complete dataset passes are shown.</x:v>
      </x:c>
    </x:row>
    <x:row r="10">
      <x:c r="A10" t="str">
        <x:v>Samples per epoch</x:v>
      </x:c>
      <x:c r="B10" t="n">
        <x:v>4</x:v>
      </x:c>
      <x:c r="C10" t="str">
        <x:v>Four bipolar AND cases.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5" max="5" width="34" hidden="0" customWidth="1"/>
  </x:cols>
  <x:sheetData>
    <x:row r="1" ht="26" customHeight="1">
      <x:c r="A1" s="3" t="str">
        <x:v>SHARED BIPOLAR AND DATASET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27" customHeight="1">
      <x:c r="A4" s="7" t="str">
        <x:v>Sample</x:v>
      </x:c>
      <x:c r="B4" s="7" t="str">
        <x:v>x1</x:v>
      </x:c>
      <x:c r="C4" s="7" t="str">
        <x:v>x2</x:v>
      </x:c>
      <x:c r="D4" s="7" t="str">
        <x:v>Target t</x:v>
      </x:c>
      <x:c r="E4" s="7" t="str">
        <x:v>Logic</x:v>
      </x:c>
    </x:row>
    <x:row r="5">
      <x:c r="A5" t="n">
        <x:v>1</x:v>
      </x:c>
      <x:c r="B5" t="n">
        <x:v>-1</x:v>
      </x:c>
      <x:c r="C5" t="n">
        <x:v>-1</x:v>
      </x:c>
      <x:c r="D5" t="n">
        <x:v>-1</x:v>
      </x:c>
      <x:c r="E5" t="str">
        <x:v>-1 AND -1 -&gt; -1</x:v>
      </x:c>
    </x:row>
    <x:row r="6">
      <x:c r="A6" t="n">
        <x:v>2</x:v>
      </x:c>
      <x:c r="B6" t="n">
        <x:v>-1</x:v>
      </x:c>
      <x:c r="C6" t="n">
        <x:v>1</x:v>
      </x:c>
      <x:c r="D6" t="n">
        <x:v>-1</x:v>
      </x:c>
      <x:c r="E6" t="str">
        <x:v>-1 AND +1 -&gt; -1</x:v>
      </x:c>
    </x:row>
    <x:row r="7">
      <x:c r="A7" t="n">
        <x:v>3</x:v>
      </x:c>
      <x:c r="B7" t="n">
        <x:v>1</x:v>
      </x:c>
      <x:c r="C7" t="n">
        <x:v>-1</x:v>
      </x:c>
      <x:c r="D7" t="n">
        <x:v>-1</x:v>
      </x:c>
      <x:c r="E7" t="str">
        <x:v>+1 AND -1 -&gt; -1</x:v>
      </x:c>
    </x:row>
    <x:row r="8">
      <x:c r="A8" t="n">
        <x:v>4</x:v>
      </x:c>
      <x:c r="B8" t="n">
        <x:v>1</x:v>
      </x:c>
      <x:c r="C8" t="n">
        <x:v>1</x:v>
      </x:c>
      <x:c r="D8" t="n">
        <x:v>1</x:v>
      </x:c>
      <x:c r="E8" t="str">
        <x:v>+1 AND +1 -&gt; +1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6" customHeight="1">
      <x:c r="A1" s="3" t="str">
        <x:v>ADALINE | ONLINE TRAINING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4" ht="27" customHeight="1">
      <x:c r="A4" s="7" t="str">
        <x:v>Step</x:v>
      </x:c>
      <x:c r="B4" s="7" t="str">
        <x:v>Epoch</x:v>
      </x:c>
      <x:c r="C4" s="7" t="str">
        <x:v>Sample</x:v>
      </x:c>
      <x:c r="D4" s="7" t="str">
        <x:v>x1</x:v>
      </x:c>
      <x:c r="E4" s="7" t="str">
        <x:v>x2</x:v>
      </x:c>
      <x:c r="F4" s="7" t="str">
        <x:v>Target t</x:v>
      </x:c>
      <x:c r="G4" s="7" t="str">
        <x:v>w1 before</x:v>
      </x:c>
      <x:c r="H4" s="7" t="str">
        <x:v>w2 before</x:v>
      </x:c>
      <x:c r="I4" s="7" t="str">
        <x:v>b before</x:v>
      </x:c>
      <x:c r="J4" s="7" t="str">
        <x:v>Linear y</x:v>
      </x:c>
      <x:c r="K4" s="7" t="str">
        <x:v>Residual e</x:v>
      </x:c>
      <x:c r="L4" s="7" t="str">
        <x:v>Error²</x:v>
      </x:c>
      <x:c r="M4" s="7" t="str">
        <x:v>w1 after</x:v>
      </x:c>
      <x:c r="N4" s="7" t="str">
        <x:v>w2 after</x:v>
      </x:c>
      <x:c r="O4" s="7" t="str">
        <x:v>b after</x:v>
      </x:c>
    </x:row>
    <x:row r="5">
      <x:c r="A5" t="n">
        <x:f>1</x:f>
        <x:v>1</x:v>
      </x:c>
      <x:c r="B5" t="n">
        <x:f>INT((A5-1)/4)+1</x:f>
        <x:v>1</x:v>
      </x:c>
      <x:c r="C5" t="n">
        <x:f>MOD(A5-1,4)+1</x:f>
        <x:v>1</x:v>
      </x:c>
      <x:c r="D5" t="n">
        <x:f>INDEX(Dataset!$B$5:$B$8,C5)</x:f>
        <x:v>-1</x:v>
      </x:c>
      <x:c r="E5" t="n">
        <x:f>INDEX(Dataset!$C$5:$C$8,C5)</x:f>
        <x:v>-1</x:v>
      </x:c>
      <x:c r="F5" t="n">
        <x:f>INDEX(Dataset!$D$5:$D$8,C5)</x:f>
        <x:v>-1</x:v>
      </x:c>
      <x:c r="G5" t="n">
        <x:f>Parameters!$B$6</x:f>
        <x:v>0</x:v>
      </x:c>
      <x:c r="H5" t="n">
        <x:f>Parameters!$B$7</x:f>
        <x:v>0</x:v>
      </x:c>
      <x:c r="I5" t="n">
        <x:f>Parameters!$B$8</x:f>
        <x:v>0</x:v>
      </x:c>
      <x:c r="J5" t="n">
        <x:f>G5*D5+H5*E5+I5</x:f>
        <x:v>0</x:v>
      </x:c>
      <x:c r="K5" t="n">
        <x:f>F5-J5</x:f>
        <x:v>-1</x:v>
      </x:c>
      <x:c r="L5" t="n">
        <x:f>K5^2</x:f>
        <x:v>1</x:v>
      </x:c>
      <x:c r="M5" t="n">
        <x:f>G5+Parameters!$B$5*K5*D5</x:f>
        <x:v>0.1</x:v>
      </x:c>
      <x:c r="N5" t="n">
        <x:f>H5+Parameters!$B$5*K5*E5</x:f>
        <x:v>0.1</x:v>
      </x:c>
      <x:c r="O5" t="n">
        <x:f>I5+Parameters!$B$5*K5</x:f>
        <x:v>-0.1</x:v>
      </x:c>
    </x:row>
    <x:row r="6">
      <x:c r="A6" t="n">
        <x:f>2</x:f>
        <x:v>2</x:v>
      </x:c>
      <x:c r="B6" t="n">
        <x:f>INT((A6-1)/4)+1</x:f>
        <x:v>1</x:v>
      </x:c>
      <x:c r="C6" t="n">
        <x:f>MOD(A6-1,4)+1</x:f>
        <x:v>2</x:v>
      </x:c>
      <x:c r="D6" t="n">
        <x:f>INDEX(Dataset!$B$5:$B$8,C6)</x:f>
        <x:v>-1</x:v>
      </x:c>
      <x:c r="E6" t="n">
        <x:f>INDEX(Dataset!$C$5:$C$8,C6)</x:f>
        <x:v>1</x:v>
      </x:c>
      <x:c r="F6" t="n">
        <x:f>INDEX(Dataset!$D$5:$D$8,C6)</x:f>
        <x:v>-1</x:v>
      </x:c>
      <x:c r="G6" t="n">
        <x:f>M5</x:f>
        <x:v>0.1</x:v>
      </x:c>
      <x:c r="H6" t="n">
        <x:f>N5</x:f>
        <x:v>0.1</x:v>
      </x:c>
      <x:c r="I6" t="n">
        <x:f>O5</x:f>
        <x:v>-0.1</x:v>
      </x:c>
      <x:c r="J6" t="n">
        <x:f>G6*D6+H6*E6+I6</x:f>
        <x:v>-0.1</x:v>
      </x:c>
      <x:c r="K6" t="n">
        <x:f>F6-J6</x:f>
        <x:v>-0.9</x:v>
      </x:c>
      <x:c r="L6" t="n">
        <x:f>K6^2</x:f>
        <x:v>0.81</x:v>
      </x:c>
      <x:c r="M6" t="n">
        <x:f>G6+Parameters!$B$5*K6*D6</x:f>
        <x:v>0.19</x:v>
      </x:c>
      <x:c r="N6" t="n">
        <x:f>H6+Parameters!$B$5*K6*E6</x:f>
        <x:v>0.009999999999999995</x:v>
      </x:c>
      <x:c r="O6" t="n">
        <x:f>I6+Parameters!$B$5*K6</x:f>
        <x:v>-0.19</x:v>
      </x:c>
    </x:row>
    <x:row r="7">
      <x:c r="A7" t="n">
        <x:f>3</x:f>
        <x:v>3</x:v>
      </x:c>
      <x:c r="B7" t="n">
        <x:f>INT((A7-1)/4)+1</x:f>
        <x:v>1</x:v>
      </x:c>
      <x:c r="C7" t="n">
        <x:f>MOD(A7-1,4)+1</x:f>
        <x:v>3</x:v>
      </x:c>
      <x:c r="D7" t="n">
        <x:f>INDEX(Dataset!$B$5:$B$8,C7)</x:f>
        <x:v>1</x:v>
      </x:c>
      <x:c r="E7" t="n">
        <x:f>INDEX(Dataset!$C$5:$C$8,C7)</x:f>
        <x:v>-1</x:v>
      </x:c>
      <x:c r="F7" t="n">
        <x:f>INDEX(Dataset!$D$5:$D$8,C7)</x:f>
        <x:v>-1</x:v>
      </x:c>
      <x:c r="G7" t="n">
        <x:f>M6</x:f>
        <x:v>0.19</x:v>
      </x:c>
      <x:c r="H7" t="n">
        <x:f>N6</x:f>
        <x:v>0.009999999999999995</x:v>
      </x:c>
      <x:c r="I7" t="n">
        <x:f>O6</x:f>
        <x:v>-0.19</x:v>
      </x:c>
      <x:c r="J7" t="n">
        <x:f>G7*D7+H7*E7+I7</x:f>
        <x:v>-0.010000000000000009</x:v>
      </x:c>
      <x:c r="K7" t="n">
        <x:f>F7-J7</x:f>
        <x:v>-0.99</x:v>
      </x:c>
      <x:c r="L7" t="n">
        <x:f>K7^2</x:f>
        <x:v>0.9801</x:v>
      </x:c>
      <x:c r="M7" t="n">
        <x:f>G7+Parameters!$B$5*K7*D7</x:f>
        <x:v>0.091</x:v>
      </x:c>
      <x:c r="N7" t="n">
        <x:f>H7+Parameters!$B$5*K7*E7</x:f>
        <x:v>0.109</x:v>
      </x:c>
      <x:c r="O7" t="n">
        <x:f>I7+Parameters!$B$5*K7</x:f>
        <x:v>-0.28900000000000003</x:v>
      </x:c>
    </x:row>
    <x:row r="8">
      <x:c r="A8" t="n">
        <x:f>4</x:f>
        <x:v>4</x:v>
      </x:c>
      <x:c r="B8" t="n">
        <x:f>INT((A8-1)/4)+1</x:f>
        <x:v>1</x:v>
      </x:c>
      <x:c r="C8" t="n">
        <x:f>MOD(A8-1,4)+1</x:f>
        <x:v>4</x:v>
      </x:c>
      <x:c r="D8" t="n">
        <x:f>INDEX(Dataset!$B$5:$B$8,C8)</x:f>
        <x:v>1</x:v>
      </x:c>
      <x:c r="E8" t="n">
        <x:f>INDEX(Dataset!$C$5:$C$8,C8)</x:f>
        <x:v>1</x:v>
      </x:c>
      <x:c r="F8" t="n">
        <x:f>INDEX(Dataset!$D$5:$D$8,C8)</x:f>
        <x:v>1</x:v>
      </x:c>
      <x:c r="G8" t="n">
        <x:f>M7</x:f>
        <x:v>0.091</x:v>
      </x:c>
      <x:c r="H8" t="n">
        <x:f>N7</x:f>
        <x:v>0.109</x:v>
      </x:c>
      <x:c r="I8" t="n">
        <x:f>O7</x:f>
        <x:v>-0.28900000000000003</x:v>
      </x:c>
      <x:c r="J8" t="n">
        <x:f>G8*D8+H8*E8+I8</x:f>
        <x:v>-0.08900000000000002</x:v>
      </x:c>
      <x:c r="K8" t="n">
        <x:f>F8-J8</x:f>
        <x:v>1.089</x:v>
      </x:c>
      <x:c r="L8" t="n">
        <x:f>K8^2</x:f>
        <x:v>1.185921</x:v>
      </x:c>
      <x:c r="M8" t="n">
        <x:f>G8+Parameters!$B$5*K8*D8</x:f>
        <x:v>0.1999</x:v>
      </x:c>
      <x:c r="N8" t="n">
        <x:f>H8+Parameters!$B$5*K8*E8</x:f>
        <x:v>0.21789999999999998</x:v>
      </x:c>
      <x:c r="O8" t="n">
        <x:f>I8+Parameters!$B$5*K8</x:f>
        <x:v>-0.18010000000000004</x:v>
      </x:c>
    </x:row>
    <x:row r="9">
      <x:c r="A9" t="n">
        <x:f>5</x:f>
        <x:v>5</x:v>
      </x:c>
      <x:c r="B9" t="n">
        <x:f>INT((A9-1)/4)+1</x:f>
        <x:v>2</x:v>
      </x:c>
      <x:c r="C9" t="n">
        <x:f>MOD(A9-1,4)+1</x:f>
        <x:v>1</x:v>
      </x:c>
      <x:c r="D9" t="n">
        <x:f>INDEX(Dataset!$B$5:$B$8,C9)</x:f>
        <x:v>-1</x:v>
      </x:c>
      <x:c r="E9" t="n">
        <x:f>INDEX(Dataset!$C$5:$C$8,C9)</x:f>
        <x:v>-1</x:v>
      </x:c>
      <x:c r="F9" t="n">
        <x:f>INDEX(Dataset!$D$5:$D$8,C9)</x:f>
        <x:v>-1</x:v>
      </x:c>
      <x:c r="G9" t="n">
        <x:f>M8</x:f>
        <x:v>0.1999</x:v>
      </x:c>
      <x:c r="H9" t="n">
        <x:f>N8</x:f>
        <x:v>0.21789999999999998</x:v>
      </x:c>
      <x:c r="I9" t="n">
        <x:f>O8</x:f>
        <x:v>-0.18010000000000004</x:v>
      </x:c>
      <x:c r="J9" t="n">
        <x:f>G9*D9+H9*E9+I9</x:f>
        <x:v>-0.5979</x:v>
      </x:c>
      <x:c r="K9" t="n">
        <x:f>F9-J9</x:f>
        <x:v>-0.4021</x:v>
      </x:c>
      <x:c r="L9" t="n">
        <x:f>K9^2</x:f>
        <x:v>0.16168441</x:v>
      </x:c>
      <x:c r="M9" t="n">
        <x:f>G9+Parameters!$B$5*K9*D9</x:f>
        <x:v>0.24011</x:v>
      </x:c>
      <x:c r="N9" t="n">
        <x:f>H9+Parameters!$B$5*K9*E9</x:f>
        <x:v>0.25811</x:v>
      </x:c>
      <x:c r="O9" t="n">
        <x:f>I9+Parameters!$B$5*K9</x:f>
        <x:v>-0.22031000000000003</x:v>
      </x:c>
    </x:row>
    <x:row r="10">
      <x:c r="A10" t="n">
        <x:f>6</x:f>
        <x:v>6</x:v>
      </x:c>
      <x:c r="B10" t="n">
        <x:f>INT((A10-1)/4)+1</x:f>
        <x:v>2</x:v>
      </x:c>
      <x:c r="C10" t="n">
        <x:f>MOD(A10-1,4)+1</x:f>
        <x:v>2</x:v>
      </x:c>
      <x:c r="D10" t="n">
        <x:f>INDEX(Dataset!$B$5:$B$8,C10)</x:f>
        <x:v>-1</x:v>
      </x:c>
      <x:c r="E10" t="n">
        <x:f>INDEX(Dataset!$C$5:$C$8,C10)</x:f>
        <x:v>1</x:v>
      </x:c>
      <x:c r="F10" t="n">
        <x:f>INDEX(Dataset!$D$5:$D$8,C10)</x:f>
        <x:v>-1</x:v>
      </x:c>
      <x:c r="G10" t="n">
        <x:f>M9</x:f>
        <x:v>0.24011</x:v>
      </x:c>
      <x:c r="H10" t="n">
        <x:f>N9</x:f>
        <x:v>0.25811</x:v>
      </x:c>
      <x:c r="I10" t="n">
        <x:f>O9</x:f>
        <x:v>-0.22031000000000003</x:v>
      </x:c>
      <x:c r="J10" t="n">
        <x:f>G10*D10+H10*E10+I10</x:f>
        <x:v>-0.20231000000000002</x:v>
      </x:c>
      <x:c r="K10" t="n">
        <x:f>F10-J10</x:f>
        <x:v>-0.79769</x:v>
      </x:c>
      <x:c r="L10" t="n">
        <x:f>K10^2</x:f>
        <x:v>0.6363093361000001</x:v>
      </x:c>
      <x:c r="M10" t="n">
        <x:f>G10+Parameters!$B$5*K10*D10</x:f>
        <x:v>0.319879</x:v>
      </x:c>
      <x:c r="N10" t="n">
        <x:f>H10+Parameters!$B$5*K10*E10</x:f>
        <x:v>0.178341</x:v>
      </x:c>
      <x:c r="O10" t="n">
        <x:f>I10+Parameters!$B$5*K10</x:f>
        <x:v>-0.30007900000000004</x:v>
      </x:c>
    </x:row>
    <x:row r="11">
      <x:c r="A11" t="n">
        <x:f>7</x:f>
        <x:v>7</x:v>
      </x:c>
      <x:c r="B11" t="n">
        <x:f>INT((A11-1)/4)+1</x:f>
        <x:v>2</x:v>
      </x:c>
      <x:c r="C11" t="n">
        <x:f>MOD(A11-1,4)+1</x:f>
        <x:v>3</x:v>
      </x:c>
      <x:c r="D11" t="n">
        <x:f>INDEX(Dataset!$B$5:$B$8,C11)</x:f>
        <x:v>1</x:v>
      </x:c>
      <x:c r="E11" t="n">
        <x:f>INDEX(Dataset!$C$5:$C$8,C11)</x:f>
        <x:v>-1</x:v>
      </x:c>
      <x:c r="F11" t="n">
        <x:f>INDEX(Dataset!$D$5:$D$8,C11)</x:f>
        <x:v>-1</x:v>
      </x:c>
      <x:c r="G11" t="n">
        <x:f>M10</x:f>
        <x:v>0.319879</x:v>
      </x:c>
      <x:c r="H11" t="n">
        <x:f>N10</x:f>
        <x:v>0.178341</x:v>
      </x:c>
      <x:c r="I11" t="n">
        <x:f>O10</x:f>
        <x:v>-0.30007900000000004</x:v>
      </x:c>
      <x:c r="J11" t="n">
        <x:f>G11*D11+H11*E11+I11</x:f>
        <x:v>-0.15854100000000002</x:v>
      </x:c>
      <x:c r="K11" t="n">
        <x:f>F11-J11</x:f>
        <x:v>-0.841459</x:v>
      </x:c>
      <x:c r="L11" t="n">
        <x:f>K11^2</x:f>
        <x:v>0.708053248681</x:v>
      </x:c>
      <x:c r="M11" t="n">
        <x:f>G11+Parameters!$B$5*K11*D11</x:f>
        <x:v>0.23573310000000003</x:v>
      </x:c>
      <x:c r="N11" t="n">
        <x:f>H11+Parameters!$B$5*K11*E11</x:f>
        <x:v>0.26248689999999997</x:v>
      </x:c>
      <x:c r="O11" t="n">
        <x:f>I11+Parameters!$B$5*K11</x:f>
        <x:v>-0.38422490000000004</x:v>
      </x:c>
    </x:row>
    <x:row r="12">
      <x:c r="A12" t="n">
        <x:f>8</x:f>
        <x:v>8</x:v>
      </x:c>
      <x:c r="B12" t="n">
        <x:f>INT((A12-1)/4)+1</x:f>
        <x:v>2</x:v>
      </x:c>
      <x:c r="C12" t="n">
        <x:f>MOD(A12-1,4)+1</x:f>
        <x:v>4</x:v>
      </x:c>
      <x:c r="D12" t="n">
        <x:f>INDEX(Dataset!$B$5:$B$8,C12)</x:f>
        <x:v>1</x:v>
      </x:c>
      <x:c r="E12" t="n">
        <x:f>INDEX(Dataset!$C$5:$C$8,C12)</x:f>
        <x:v>1</x:v>
      </x:c>
      <x:c r="F12" t="n">
        <x:f>INDEX(Dataset!$D$5:$D$8,C12)</x:f>
        <x:v>1</x:v>
      </x:c>
      <x:c r="G12" t="n">
        <x:f>M11</x:f>
        <x:v>0.23573310000000003</x:v>
      </x:c>
      <x:c r="H12" t="n">
        <x:f>N11</x:f>
        <x:v>0.26248689999999997</x:v>
      </x:c>
      <x:c r="I12" t="n">
        <x:f>O11</x:f>
        <x:v>-0.38422490000000004</x:v>
      </x:c>
      <x:c r="J12" t="n">
        <x:f>G12*D12+H12*E12+I12</x:f>
        <x:v>0.11399509999999996</x:v>
      </x:c>
      <x:c r="K12" t="n">
        <x:f>F12-J12</x:f>
        <x:v>0.8860049000000001</x:v>
      </x:c>
      <x:c r="L12" t="n">
        <x:f>K12^2</x:f>
        <x:v>0.7850046828240101</x:v>
      </x:c>
      <x:c r="M12" t="n">
        <x:f>G12+Parameters!$B$5*K12*D12</x:f>
        <x:v>0.32433359000000006</x:v>
      </x:c>
      <x:c r="N12" t="n">
        <x:f>H12+Parameters!$B$5*K12*E12</x:f>
        <x:v>0.35108739</x:v>
      </x:c>
      <x:c r="O12" t="n">
        <x:f>I12+Parameters!$B$5*K12</x:f>
        <x:v>-0.29562441</x:v>
      </x:c>
    </x:row>
    <x:row r="13">
      <x:c r="A13" t="n">
        <x:f>9</x:f>
        <x:v>9</x:v>
      </x:c>
      <x:c r="B13" t="n">
        <x:f>INT((A13-1)/4)+1</x:f>
        <x:v>3</x:v>
      </x:c>
      <x:c r="C13" t="n">
        <x:f>MOD(A13-1,4)+1</x:f>
        <x:v>1</x:v>
      </x:c>
      <x:c r="D13" t="n">
        <x:f>INDEX(Dataset!$B$5:$B$8,C13)</x:f>
        <x:v>-1</x:v>
      </x:c>
      <x:c r="E13" t="n">
        <x:f>INDEX(Dataset!$C$5:$C$8,C13)</x:f>
        <x:v>-1</x:v>
      </x:c>
      <x:c r="F13" t="n">
        <x:f>INDEX(Dataset!$D$5:$D$8,C13)</x:f>
        <x:v>-1</x:v>
      </x:c>
      <x:c r="G13" t="n">
        <x:f>M12</x:f>
        <x:v>0.32433359000000006</x:v>
      </x:c>
      <x:c r="H13" t="n">
        <x:f>N12</x:f>
        <x:v>0.35108739</x:v>
      </x:c>
      <x:c r="I13" t="n">
        <x:f>O12</x:f>
        <x:v>-0.29562441</x:v>
      </x:c>
      <x:c r="J13" t="n">
        <x:f>G13*D13+H13*E13+I13</x:f>
        <x:v>-0.97104539</x:v>
      </x:c>
      <x:c r="K13" t="n">
        <x:f>F13-J13</x:f>
        <x:v>-0.028954609999999992</x:v>
      </x:c>
      <x:c r="L13" t="n">
        <x:f>K13^2</x:f>
        <x:v>0.0008383694402520995</x:v>
      </x:c>
      <x:c r="M13" t="n">
        <x:f>G13+Parameters!$B$5*K13*D13</x:f>
        <x:v>0.32722905100000005</x:v>
      </x:c>
      <x:c r="N13" t="n">
        <x:f>H13+Parameters!$B$5*K13*E13</x:f>
        <x:v>0.353982851</x:v>
      </x:c>
      <x:c r="O13" t="n">
        <x:f>I13+Parameters!$B$5*K13</x:f>
        <x:v>-0.298519871</x:v>
      </x:c>
    </x:row>
    <x:row r="14">
      <x:c r="A14" t="n">
        <x:f>10</x:f>
        <x:v>10</x:v>
      </x:c>
      <x:c r="B14" t="n">
        <x:f>INT((A14-1)/4)+1</x:f>
        <x:v>3</x:v>
      </x:c>
      <x:c r="C14" t="n">
        <x:f>MOD(A14-1,4)+1</x:f>
        <x:v>2</x:v>
      </x:c>
      <x:c r="D14" t="n">
        <x:f>INDEX(Dataset!$B$5:$B$8,C14)</x:f>
        <x:v>-1</x:v>
      </x:c>
      <x:c r="E14" t="n">
        <x:f>INDEX(Dataset!$C$5:$C$8,C14)</x:f>
        <x:v>1</x:v>
      </x:c>
      <x:c r="F14" t="n">
        <x:f>INDEX(Dataset!$D$5:$D$8,C14)</x:f>
        <x:v>-1</x:v>
      </x:c>
      <x:c r="G14" t="n">
        <x:f>M13</x:f>
        <x:v>0.32722905100000005</x:v>
      </x:c>
      <x:c r="H14" t="n">
        <x:f>N13</x:f>
        <x:v>0.353982851</x:v>
      </x:c>
      <x:c r="I14" t="n">
        <x:f>O13</x:f>
        <x:v>-0.298519871</x:v>
      </x:c>
      <x:c r="J14" t="n">
        <x:f>G14*D14+H14*E14+I14</x:f>
        <x:v>-0.27176607100000005</x:v>
      </x:c>
      <x:c r="K14" t="n">
        <x:f>F14-J14</x:f>
        <x:v>-0.728233929</x:v>
      </x:c>
      <x:c r="L14" t="n">
        <x:f>K14^2</x:f>
        <x:v>0.530324655346777</x:v>
      </x:c>
      <x:c r="M14" t="n">
        <x:f>G14+Parameters!$B$5*K14*D14</x:f>
        <x:v>0.40005244390000005</x:v>
      </x:c>
      <x:c r="N14" t="n">
        <x:f>H14+Parameters!$B$5*K14*E14</x:f>
        <x:v>0.2811594581</x:v>
      </x:c>
      <x:c r="O14" t="n">
        <x:f>I14+Parameters!$B$5*K14</x:f>
        <x:v>-0.3713432639</x:v>
      </x:c>
    </x:row>
    <x:row r="15">
      <x:c r="A15" t="n">
        <x:f>11</x:f>
        <x:v>11</x:v>
      </x:c>
      <x:c r="B15" t="n">
        <x:f>INT((A15-1)/4)+1</x:f>
        <x:v>3</x:v>
      </x:c>
      <x:c r="C15" t="n">
        <x:f>MOD(A15-1,4)+1</x:f>
        <x:v>3</x:v>
      </x:c>
      <x:c r="D15" t="n">
        <x:f>INDEX(Dataset!$B$5:$B$8,C15)</x:f>
        <x:v>1</x:v>
      </x:c>
      <x:c r="E15" t="n">
        <x:f>INDEX(Dataset!$C$5:$C$8,C15)</x:f>
        <x:v>-1</x:v>
      </x:c>
      <x:c r="F15" t="n">
        <x:f>INDEX(Dataset!$D$5:$D$8,C15)</x:f>
        <x:v>-1</x:v>
      </x:c>
      <x:c r="G15" t="n">
        <x:f>M14</x:f>
        <x:v>0.40005244390000005</x:v>
      </x:c>
      <x:c r="H15" t="n">
        <x:f>N14</x:f>
        <x:v>0.2811594581</x:v>
      </x:c>
      <x:c r="I15" t="n">
        <x:f>O14</x:f>
        <x:v>-0.3713432639</x:v>
      </x:c>
      <x:c r="J15" t="n">
        <x:f>G15*D15+H15*E15+I15</x:f>
        <x:v>-0.2524502780999999</x:v>
      </x:c>
      <x:c r="K15" t="n">
        <x:f>F15-J15</x:f>
        <x:v>-0.7475497219</x:v>
      </x:c>
      <x:c r="L15" t="n">
        <x:f>K15^2</x:f>
        <x:v>0.5588305867127674</x:v>
      </x:c>
      <x:c r="M15" t="n">
        <x:f>G15+Parameters!$B$5*K15*D15</x:f>
        <x:v>0.32529747171000006</x:v>
      </x:c>
      <x:c r="N15" t="n">
        <x:f>H15+Parameters!$B$5*K15*E15</x:f>
        <x:v>0.35591443029</x:v>
      </x:c>
      <x:c r="O15" t="n">
        <x:f>I15+Parameters!$B$5*K15</x:f>
        <x:v>-0.44609823609</x:v>
      </x:c>
    </x:row>
    <x:row r="16">
      <x:c r="A16" t="n">
        <x:f>12</x:f>
        <x:v>12</x:v>
      </x:c>
      <x:c r="B16" t="n">
        <x:f>INT((A16-1)/4)+1</x:f>
        <x:v>3</x:v>
      </x:c>
      <x:c r="C16" t="n">
        <x:f>MOD(A16-1,4)+1</x:f>
        <x:v>4</x:v>
      </x:c>
      <x:c r="D16" t="n">
        <x:f>INDEX(Dataset!$B$5:$B$8,C16)</x:f>
        <x:v>1</x:v>
      </x:c>
      <x:c r="E16" t="n">
        <x:f>INDEX(Dataset!$C$5:$C$8,C16)</x:f>
        <x:v>1</x:v>
      </x:c>
      <x:c r="F16" t="n">
        <x:f>INDEX(Dataset!$D$5:$D$8,C16)</x:f>
        <x:v>1</x:v>
      </x:c>
      <x:c r="G16" t="n">
        <x:f>M15</x:f>
        <x:v>0.32529747171000006</x:v>
      </x:c>
      <x:c r="H16" t="n">
        <x:f>N15</x:f>
        <x:v>0.35591443029</x:v>
      </x:c>
      <x:c r="I16" t="n">
        <x:f>O15</x:f>
        <x:v>-0.44609823609</x:v>
      </x:c>
      <x:c r="J16" t="n">
        <x:f>G16*D16+H16*E16+I16</x:f>
        <x:v>0.23511366591000005</x:v>
      </x:c>
      <x:c r="K16" t="n">
        <x:f>F16-J16</x:f>
        <x:v>0.76488633409</x:v>
      </x:c>
      <x:c r="L16" t="n">
        <x:f>K16^2</x:f>
        <x:v>0.585051104077639</x:v>
      </x:c>
      <x:c r="M16" t="n">
        <x:f>G16+Parameters!$B$5*K16*D16</x:f>
        <x:v>0.40178610511900004</x:v>
      </x:c>
      <x:c r="N16" t="n">
        <x:f>H16+Parameters!$B$5*K16*E16</x:f>
        <x:v>0.43240306369899995</x:v>
      </x:c>
      <x:c r="O16" t="n">
        <x:f>I16+Parameters!$B$5*K16</x:f>
        <x:v>-0.36960960268099996</x:v>
      </x:c>
    </x:row>
    <x:row r="17">
      <x:c r="A17" t="n">
        <x:f>13</x:f>
        <x:v>13</x:v>
      </x:c>
      <x:c r="B17" t="n">
        <x:f>INT((A17-1)/4)+1</x:f>
        <x:v>4</x:v>
      </x:c>
      <x:c r="C17" t="n">
        <x:f>MOD(A17-1,4)+1</x:f>
        <x:v>1</x:v>
      </x:c>
      <x:c r="D17" t="n">
        <x:f>INDEX(Dataset!$B$5:$B$8,C17)</x:f>
        <x:v>-1</x:v>
      </x:c>
      <x:c r="E17" t="n">
        <x:f>INDEX(Dataset!$C$5:$C$8,C17)</x:f>
        <x:v>-1</x:v>
      </x:c>
      <x:c r="F17" t="n">
        <x:f>INDEX(Dataset!$D$5:$D$8,C17)</x:f>
        <x:v>-1</x:v>
      </x:c>
      <x:c r="G17" t="n">
        <x:f>M16</x:f>
        <x:v>0.40178610511900004</x:v>
      </x:c>
      <x:c r="H17" t="n">
        <x:f>N16</x:f>
        <x:v>0.43240306369899995</x:v>
      </x:c>
      <x:c r="I17" t="n">
        <x:f>O16</x:f>
        <x:v>-0.36960960268099996</x:v>
      </x:c>
      <x:c r="J17" t="n">
        <x:f>G17*D17+H17*E17+I17</x:f>
        <x:v>-1.203798771499</x:v>
      </x:c>
      <x:c r="K17" t="n">
        <x:f>F17-J17</x:f>
        <x:v>0.20379877149899994</x:v>
      </x:c>
      <x:c r="L17" t="n">
        <x:f>K17^2</x:f>
        <x:v>0.04153393926450159</x:v>
      </x:c>
      <x:c r="M17" t="n">
        <x:f>G17+Parameters!$B$5*K17*D17</x:f>
        <x:v>0.38140622796910006</x:v>
      </x:c>
      <x:c r="N17" t="n">
        <x:f>H17+Parameters!$B$5*K17*E17</x:f>
        <x:v>0.4120231865491</x:v>
      </x:c>
      <x:c r="O17" t="n">
        <x:f>I17+Parameters!$B$5*K17</x:f>
        <x:v>-0.3492297255311</x:v>
      </x:c>
    </x:row>
    <x:row r="18">
      <x:c r="A18" t="n">
        <x:f>14</x:f>
        <x:v>14</x:v>
      </x:c>
      <x:c r="B18" t="n">
        <x:f>INT((A18-1)/4)+1</x:f>
        <x:v>4</x:v>
      </x:c>
      <x:c r="C18" t="n">
        <x:f>MOD(A18-1,4)+1</x:f>
        <x:v>2</x:v>
      </x:c>
      <x:c r="D18" t="n">
        <x:f>INDEX(Dataset!$B$5:$B$8,C18)</x:f>
        <x:v>-1</x:v>
      </x:c>
      <x:c r="E18" t="n">
        <x:f>INDEX(Dataset!$C$5:$C$8,C18)</x:f>
        <x:v>1</x:v>
      </x:c>
      <x:c r="F18" t="n">
        <x:f>INDEX(Dataset!$D$5:$D$8,C18)</x:f>
        <x:v>-1</x:v>
      </x:c>
      <x:c r="G18" t="n">
        <x:f>M17</x:f>
        <x:v>0.38140622796910006</x:v>
      </x:c>
      <x:c r="H18" t="n">
        <x:f>N17</x:f>
        <x:v>0.4120231865491</x:v>
      </x:c>
      <x:c r="I18" t="n">
        <x:f>O17</x:f>
        <x:v>-0.3492297255311</x:v>
      </x:c>
      <x:c r="J18" t="n">
        <x:f>G18*D18+H18*E18+I18</x:f>
        <x:v>-0.3186127669511001</x:v>
      </x:c>
      <x:c r="K18" t="n">
        <x:f>F18-J18</x:f>
        <x:v>-0.6813872330488999</x:v>
      </x:c>
      <x:c r="L18" t="n">
        <x:f>K18^2</x:f>
        <x:v>0.46428856136203583</x:v>
      </x:c>
      <x:c r="M18" t="n">
        <x:f>G18+Parameters!$B$5*K18*D18</x:f>
        <x:v>0.4495449512739901</x:v>
      </x:c>
      <x:c r="N18" t="n">
        <x:f>H18+Parameters!$B$5*K18*E18</x:f>
        <x:v>0.34388446324420996</x:v>
      </x:c>
      <x:c r="O18" t="n">
        <x:f>I18+Parameters!$B$5*K18</x:f>
        <x:v>-0.41736844883599</x:v>
      </x:c>
    </x:row>
    <x:row r="19">
      <x:c r="A19" t="n">
        <x:f>15</x:f>
        <x:v>15</x:v>
      </x:c>
      <x:c r="B19" t="n">
        <x:f>INT((A19-1)/4)+1</x:f>
        <x:v>4</x:v>
      </x:c>
      <x:c r="C19" t="n">
        <x:f>MOD(A19-1,4)+1</x:f>
        <x:v>3</x:v>
      </x:c>
      <x:c r="D19" t="n">
        <x:f>INDEX(Dataset!$B$5:$B$8,C19)</x:f>
        <x:v>1</x:v>
      </x:c>
      <x:c r="E19" t="n">
        <x:f>INDEX(Dataset!$C$5:$C$8,C19)</x:f>
        <x:v>-1</x:v>
      </x:c>
      <x:c r="F19" t="n">
        <x:f>INDEX(Dataset!$D$5:$D$8,C19)</x:f>
        <x:v>-1</x:v>
      </x:c>
      <x:c r="G19" t="n">
        <x:f>M18</x:f>
        <x:v>0.4495449512739901</x:v>
      </x:c>
      <x:c r="H19" t="n">
        <x:f>N18</x:f>
        <x:v>0.34388446324420996</x:v>
      </x:c>
      <x:c r="I19" t="n">
        <x:f>O18</x:f>
        <x:v>-0.41736844883599</x:v>
      </x:c>
      <x:c r="J19" t="n">
        <x:f>G19*D19+H19*E19+I19</x:f>
        <x:v>-0.3117079608062099</x:v>
      </x:c>
      <x:c r="K19" t="n">
        <x:f>F19-J19</x:f>
        <x:v>-0.6882920391937901</x:v>
      </x:c>
      <x:c r="L19" t="n">
        <x:f>K19^2</x:f>
        <x:v>0.47374593121754593</x:v>
      </x:c>
      <x:c r="M19" t="n">
        <x:f>G19+Parameters!$B$5*K19*D19</x:f>
        <x:v>0.38071574735461106</x:v>
      </x:c>
      <x:c r="N19" t="n">
        <x:f>H19+Parameters!$B$5*K19*E19</x:f>
        <x:v>0.412713667163589</x:v>
      </x:c>
      <x:c r="O19" t="n">
        <x:f>I19+Parameters!$B$5*K19</x:f>
        <x:v>-0.486197652755369</x:v>
      </x:c>
    </x:row>
    <x:row r="20">
      <x:c r="A20" t="n">
        <x:f>16</x:f>
        <x:v>16</x:v>
      </x:c>
      <x:c r="B20" t="n">
        <x:f>INT((A20-1)/4)+1</x:f>
        <x:v>4</x:v>
      </x:c>
      <x:c r="C20" t="n">
        <x:f>MOD(A20-1,4)+1</x:f>
        <x:v>4</x:v>
      </x:c>
      <x:c r="D20" t="n">
        <x:f>INDEX(Dataset!$B$5:$B$8,C20)</x:f>
        <x:v>1</x:v>
      </x:c>
      <x:c r="E20" t="n">
        <x:f>INDEX(Dataset!$C$5:$C$8,C20)</x:f>
        <x:v>1</x:v>
      </x:c>
      <x:c r="F20" t="n">
        <x:f>INDEX(Dataset!$D$5:$D$8,C20)</x:f>
        <x:v>1</x:v>
      </x:c>
      <x:c r="G20" t="n">
        <x:f>M19</x:f>
        <x:v>0.38071574735461106</x:v>
      </x:c>
      <x:c r="H20" t="n">
        <x:f>N19</x:f>
        <x:v>0.412713667163589</x:v>
      </x:c>
      <x:c r="I20" t="n">
        <x:f>O19</x:f>
        <x:v>-0.486197652755369</x:v>
      </x:c>
      <x:c r="J20" t="n">
        <x:f>G20*D20+H20*E20+I20</x:f>
        <x:v>0.307231761762831</x:v>
      </x:c>
      <x:c r="K20" t="n">
        <x:f>F20-J20</x:f>
        <x:v>0.6927682382371689</x:v>
      </x:c>
      <x:c r="L20" t="n">
        <x:f>K20^2</x:f>
        <x:v>0.47992783191023086</x:v>
      </x:c>
      <x:c r="M20" t="n">
        <x:f>G20+Parameters!$B$5*K20*D20</x:f>
        <x:v>0.44999257117832797</x:v>
      </x:c>
      <x:c r="N20" t="n">
        <x:f>H20+Parameters!$B$5*K20*E20</x:f>
        <x:v>0.4819904909873059</x:v>
      </x:c>
      <x:c r="O20" t="n">
        <x:f>I20+Parameters!$B$5*K20</x:f>
        <x:v>-0.4169208289316521</x:v>
      </x:c>
    </x:row>
    <x:row r="21">
      <x:c r="A21" t="n">
        <x:f>17</x:f>
        <x:v>17</x:v>
      </x:c>
      <x:c r="B21" t="n">
        <x:f>INT((A21-1)/4)+1</x:f>
        <x:v>5</x:v>
      </x:c>
      <x:c r="C21" t="n">
        <x:f>MOD(A21-1,4)+1</x:f>
        <x:v>1</x:v>
      </x:c>
      <x:c r="D21" t="n">
        <x:f>INDEX(Dataset!$B$5:$B$8,C21)</x:f>
        <x:v>-1</x:v>
      </x:c>
      <x:c r="E21" t="n">
        <x:f>INDEX(Dataset!$C$5:$C$8,C21)</x:f>
        <x:v>-1</x:v>
      </x:c>
      <x:c r="F21" t="n">
        <x:f>INDEX(Dataset!$D$5:$D$8,C21)</x:f>
        <x:v>-1</x:v>
      </x:c>
      <x:c r="G21" t="n">
        <x:f>M20</x:f>
        <x:v>0.44999257117832797</x:v>
      </x:c>
      <x:c r="H21" t="n">
        <x:f>N20</x:f>
        <x:v>0.4819904909873059</x:v>
      </x:c>
      <x:c r="I21" t="n">
        <x:f>O20</x:f>
        <x:v>-0.4169208289316521</x:v>
      </x:c>
      <x:c r="J21" t="n">
        <x:f>G21*D21+H21*E21+I21</x:f>
        <x:v>-1.348903891097286</x:v>
      </x:c>
      <x:c r="K21" t="n">
        <x:f>F21-J21</x:f>
        <x:v>0.3489038910972859</x:v>
      </x:c>
      <x:c r="L21" t="n">
        <x:f>K21^2</x:f>
        <x:v>0.12173392522282675</x:v>
      </x:c>
      <x:c r="M21" t="n">
        <x:f>G21+Parameters!$B$5*K21*D21</x:f>
        <x:v>0.4151021820685994</x:v>
      </x:c>
      <x:c r="N21" t="n">
        <x:f>H21+Parameters!$B$5*K21*E21</x:f>
        <x:v>0.4471001018775773</x:v>
      </x:c>
      <x:c r="O21" t="n">
        <x:f>I21+Parameters!$B$5*K21</x:f>
        <x:v>-0.38203043982192353</x:v>
      </x:c>
    </x:row>
    <x:row r="22">
      <x:c r="A22" t="n">
        <x:f>18</x:f>
        <x:v>18</x:v>
      </x:c>
      <x:c r="B22" t="n">
        <x:f>INT((A22-1)/4)+1</x:f>
        <x:v>5</x:v>
      </x:c>
      <x:c r="C22" t="n">
        <x:f>MOD(A22-1,4)+1</x:f>
        <x:v>2</x:v>
      </x:c>
      <x:c r="D22" t="n">
        <x:f>INDEX(Dataset!$B$5:$B$8,C22)</x:f>
        <x:v>-1</x:v>
      </x:c>
      <x:c r="E22" t="n">
        <x:f>INDEX(Dataset!$C$5:$C$8,C22)</x:f>
        <x:v>1</x:v>
      </x:c>
      <x:c r="F22" t="n">
        <x:f>INDEX(Dataset!$D$5:$D$8,C22)</x:f>
        <x:v>-1</x:v>
      </x:c>
      <x:c r="G22" t="n">
        <x:f>M21</x:f>
        <x:v>0.4151021820685994</x:v>
      </x:c>
      <x:c r="H22" t="n">
        <x:f>N21</x:f>
        <x:v>0.4471001018775773</x:v>
      </x:c>
      <x:c r="I22" t="n">
        <x:f>O21</x:f>
        <x:v>-0.38203043982192353</x:v>
      </x:c>
      <x:c r="J22" t="n">
        <x:f>G22*D22+H22*E22+I22</x:f>
        <x:v>-0.3500325200129456</x:v>
      </x:c>
      <x:c r="K22" t="n">
        <x:f>F22-J22</x:f>
        <x:v>-0.6499674799870544</x:v>
      </x:c>
      <x:c r="L22" t="n">
        <x:f>K22^2</x:f>
        <x:v>0.42245772504072193</x:v>
      </x:c>
      <x:c r="M22" t="n">
        <x:f>G22+Parameters!$B$5*K22*D22</x:f>
        <x:v>0.48009893006730486</x:v>
      </x:c>
      <x:c r="N22" t="n">
        <x:f>H22+Parameters!$B$5*K22*E22</x:f>
        <x:v>0.38210335387887184</x:v>
      </x:c>
      <x:c r="O22" t="n">
        <x:f>I22+Parameters!$B$5*K22</x:f>
        <x:v>-0.447027187820629</x:v>
      </x:c>
    </x:row>
    <x:row r="23">
      <x:c r="A23" t="n">
        <x:f>19</x:f>
        <x:v>19</x:v>
      </x:c>
      <x:c r="B23" t="n">
        <x:f>INT((A23-1)/4)+1</x:f>
        <x:v>5</x:v>
      </x:c>
      <x:c r="C23" t="n">
        <x:f>MOD(A23-1,4)+1</x:f>
        <x:v>3</x:v>
      </x:c>
      <x:c r="D23" t="n">
        <x:f>INDEX(Dataset!$B$5:$B$8,C23)</x:f>
        <x:v>1</x:v>
      </x:c>
      <x:c r="E23" t="n">
        <x:f>INDEX(Dataset!$C$5:$C$8,C23)</x:f>
        <x:v>-1</x:v>
      </x:c>
      <x:c r="F23" t="n">
        <x:f>INDEX(Dataset!$D$5:$D$8,C23)</x:f>
        <x:v>-1</x:v>
      </x:c>
      <x:c r="G23" t="n">
        <x:f>M22</x:f>
        <x:v>0.48009893006730486</x:v>
      </x:c>
      <x:c r="H23" t="n">
        <x:f>N22</x:f>
        <x:v>0.38210335387887184</x:v>
      </x:c>
      <x:c r="I23" t="n">
        <x:f>O22</x:f>
        <x:v>-0.447027187820629</x:v>
      </x:c>
      <x:c r="J23" t="n">
        <x:f>G23*D23+H23*E23+I23</x:f>
        <x:v>-0.349031611632196</x:v>
      </x:c>
      <x:c r="K23" t="n">
        <x:f>F23-J23</x:f>
        <x:v>-0.650968388367804</x:v>
      </x:c>
      <x:c r="L23" t="n">
        <x:f>K23^2</x:f>
        <x:v>0.4237598426541761</x:v>
      </x:c>
      <x:c r="M23" t="n">
        <x:f>G23+Parameters!$B$5*K23*D23</x:f>
        <x:v>0.41500209123052445</x:v>
      </x:c>
      <x:c r="N23" t="n">
        <x:f>H23+Parameters!$B$5*K23*E23</x:f>
        <x:v>0.44720019271565226</x:v>
      </x:c>
      <x:c r="O23" t="n">
        <x:f>I23+Parameters!$B$5*K23</x:f>
        <x:v>-0.5121240266574094</x:v>
      </x:c>
    </x:row>
    <x:row r="24">
      <x:c r="A24" t="n">
        <x:f>20</x:f>
        <x:v>20</x:v>
      </x:c>
      <x:c r="B24" t="n">
        <x:f>INT((A24-1)/4)+1</x:f>
        <x:v>5</x:v>
      </x:c>
      <x:c r="C24" t="n">
        <x:f>MOD(A24-1,4)+1</x:f>
        <x:v>4</x:v>
      </x:c>
      <x:c r="D24" t="n">
        <x:f>INDEX(Dataset!$B$5:$B$8,C24)</x:f>
        <x:v>1</x:v>
      </x:c>
      <x:c r="E24" t="n">
        <x:f>INDEX(Dataset!$C$5:$C$8,C24)</x:f>
        <x:v>1</x:v>
      </x:c>
      <x:c r="F24" t="n">
        <x:f>INDEX(Dataset!$D$5:$D$8,C24)</x:f>
        <x:v>1</x:v>
      </x:c>
      <x:c r="G24" t="n">
        <x:f>M23</x:f>
        <x:v>0.41500209123052445</x:v>
      </x:c>
      <x:c r="H24" t="n">
        <x:f>N23</x:f>
        <x:v>0.44720019271565226</x:v>
      </x:c>
      <x:c r="I24" t="n">
        <x:f>O23</x:f>
        <x:v>-0.5121240266574094</x:v>
      </x:c>
      <x:c r="J24" t="n">
        <x:f>G24*D24+H24*E24+I24</x:f>
        <x:v>0.3500782572887673</x:v>
      </x:c>
      <x:c r="K24" t="n">
        <x:f>F24-J24</x:f>
        <x:v>0.6499217427112327</x:v>
      </x:c>
      <x:c r="L24" t="n">
        <x:f>K24^2</x:f>
        <x:v>0.4223982716488058</x:v>
      </x:c>
      <x:c r="M24" t="n">
        <x:f>G24+Parameters!$B$5*K24*D24</x:f>
        <x:v>0.4799942655016477</x:v>
      </x:c>
      <x:c r="N24" t="n">
        <x:f>H24+Parameters!$B$5*K24*E24</x:f>
        <x:v>0.5121923669867755</x:v>
      </x:c>
      <x:c r="O24" t="n">
        <x:f>I24+Parameters!$B$5*K24</x:f>
        <x:v>-0.44713185238628617</x:v>
      </x:c>
    </x:row>
    <x:row r="25">
      <x:c r="A25" t="n">
        <x:f>21</x:f>
        <x:v>21</x:v>
      </x:c>
      <x:c r="B25" t="n">
        <x:f>INT((A25-1)/4)+1</x:f>
        <x:v>6</x:v>
      </x:c>
      <x:c r="C25" t="n">
        <x:f>MOD(A25-1,4)+1</x:f>
        <x:v>1</x:v>
      </x:c>
      <x:c r="D25" t="n">
        <x:f>INDEX(Dataset!$B$5:$B$8,C25)</x:f>
        <x:v>-1</x:v>
      </x:c>
      <x:c r="E25" t="n">
        <x:f>INDEX(Dataset!$C$5:$C$8,C25)</x:f>
        <x:v>-1</x:v>
      </x:c>
      <x:c r="F25" t="n">
        <x:f>INDEX(Dataset!$D$5:$D$8,C25)</x:f>
        <x:v>-1</x:v>
      </x:c>
      <x:c r="G25" t="n">
        <x:f>M24</x:f>
        <x:v>0.4799942655016477</x:v>
      </x:c>
      <x:c r="H25" t="n">
        <x:f>N24</x:f>
        <x:v>0.5121923669867755</x:v>
      </x:c>
      <x:c r="I25" t="n">
        <x:f>O24</x:f>
        <x:v>-0.44713185238628617</x:v>
      </x:c>
      <x:c r="J25" t="n">
        <x:f>G25*D25+H25*E25+I25</x:f>
        <x:v>-1.4393184848747094</x:v>
      </x:c>
      <x:c r="K25" t="n">
        <x:f>F25-J25</x:f>
        <x:v>0.43931848487470937</x:v>
      </x:c>
      <x:c r="L25" t="n">
        <x:f>K25^2</x:f>
        <x:v>0.19300073115261024</x:v>
      </x:c>
      <x:c r="M25" t="n">
        <x:f>G25+Parameters!$B$5*K25*D25</x:f>
        <x:v>0.43606241701417675</x:v>
      </x:c>
      <x:c r="N25" t="n">
        <x:f>H25+Parameters!$B$5*K25*E25</x:f>
        <x:v>0.46826051849930456</x:v>
      </x:c>
      <x:c r="O25" t="n">
        <x:f>I25+Parameters!$B$5*K25</x:f>
        <x:v>-0.4032000038988152</x:v>
      </x:c>
    </x:row>
    <x:row r="26">
      <x:c r="A26" t="n">
        <x:f>22</x:f>
        <x:v>22</x:v>
      </x:c>
      <x:c r="B26" t="n">
        <x:f>INT((A26-1)/4)+1</x:f>
        <x:v>6</x:v>
      </x:c>
      <x:c r="C26" t="n">
        <x:f>MOD(A26-1,4)+1</x:f>
        <x:v>2</x:v>
      </x:c>
      <x:c r="D26" t="n">
        <x:f>INDEX(Dataset!$B$5:$B$8,C26)</x:f>
        <x:v>-1</x:v>
      </x:c>
      <x:c r="E26" t="n">
        <x:f>INDEX(Dataset!$C$5:$C$8,C26)</x:f>
        <x:v>1</x:v>
      </x:c>
      <x:c r="F26" t="n">
        <x:f>INDEX(Dataset!$D$5:$D$8,C26)</x:f>
        <x:v>-1</x:v>
      </x:c>
      <x:c r="G26" t="n">
        <x:f>M25</x:f>
        <x:v>0.43606241701417675</x:v>
      </x:c>
      <x:c r="H26" t="n">
        <x:f>N25</x:f>
        <x:v>0.46826051849930456</x:v>
      </x:c>
      <x:c r="I26" t="n">
        <x:f>O25</x:f>
        <x:v>-0.4032000038988152</x:v>
      </x:c>
      <x:c r="J26" t="n">
        <x:f>G26*D26+H26*E26+I26</x:f>
        <x:v>-0.3710019024136874</x:v>
      </x:c>
      <x:c r="K26" t="n">
        <x:f>F26-J26</x:f>
        <x:v>-0.6289980975863125</x:v>
      </x:c>
      <x:c r="L26" t="n">
        <x:f>K26^2</x:f>
        <x:v>0.39563860676720036</x:v>
      </x:c>
      <x:c r="M26" t="n">
        <x:f>G26+Parameters!$B$5*K26*D26</x:f>
        <x:v>0.498962226772808</x:v>
      </x:c>
      <x:c r="N26" t="n">
        <x:f>H26+Parameters!$B$5*K26*E26</x:f>
        <x:v>0.4053607087406733</x:v>
      </x:c>
      <x:c r="O26" t="n">
        <x:f>I26+Parameters!$B$5*K26</x:f>
        <x:v>-0.46609981365744646</x:v>
      </x:c>
    </x:row>
    <x:row r="27">
      <x:c r="A27" t="n">
        <x:f>23</x:f>
        <x:v>23</x:v>
      </x:c>
      <x:c r="B27" t="n">
        <x:f>INT((A27-1)/4)+1</x:f>
        <x:v>6</x:v>
      </x:c>
      <x:c r="C27" t="n">
        <x:f>MOD(A27-1,4)+1</x:f>
        <x:v>3</x:v>
      </x:c>
      <x:c r="D27" t="n">
        <x:f>INDEX(Dataset!$B$5:$B$8,C27)</x:f>
        <x:v>1</x:v>
      </x:c>
      <x:c r="E27" t="n">
        <x:f>INDEX(Dataset!$C$5:$C$8,C27)</x:f>
        <x:v>-1</x:v>
      </x:c>
      <x:c r="F27" t="n">
        <x:f>INDEX(Dataset!$D$5:$D$8,C27)</x:f>
        <x:v>-1</x:v>
      </x:c>
      <x:c r="G27" t="n">
        <x:f>M26</x:f>
        <x:v>0.498962226772808</x:v>
      </x:c>
      <x:c r="H27" t="n">
        <x:f>N26</x:f>
        <x:v>0.4053607087406733</x:v>
      </x:c>
      <x:c r="I27" t="n">
        <x:f>O26</x:f>
        <x:v>-0.46609981365744646</x:v>
      </x:c>
      <x:c r="J27" t="n">
        <x:f>G27*D27+H27*E27+I27</x:f>
        <x:v>-0.3724982956253118</x:v>
      </x:c>
      <x:c r="K27" t="n">
        <x:f>F27-J27</x:f>
        <x:v>-0.6275017043746882</x:v>
      </x:c>
      <x:c r="L27" t="n">
        <x:f>K27^2</x:f>
        <x:v>0.3937583889931386</x:v>
      </x:c>
      <x:c r="M27" t="n">
        <x:f>G27+Parameters!$B$5*K27*D27</x:f>
        <x:v>0.43621205633533916</x:v>
      </x:c>
      <x:c r="N27" t="n">
        <x:f>H27+Parameters!$B$5*K27*E27</x:f>
        <x:v>0.46811087917814215</x:v>
      </x:c>
      <x:c r="O27" t="n">
        <x:f>I27+Parameters!$B$5*K27</x:f>
        <x:v>-0.5288499840949152</x:v>
      </x:c>
    </x:row>
    <x:row r="28">
      <x:c r="A28" t="n">
        <x:f>24</x:f>
        <x:v>24</x:v>
      </x:c>
      <x:c r="B28" t="n">
        <x:f>INT((A28-1)/4)+1</x:f>
        <x:v>6</x:v>
      </x:c>
      <x:c r="C28" t="n">
        <x:f>MOD(A28-1,4)+1</x:f>
        <x:v>4</x:v>
      </x:c>
      <x:c r="D28" t="n">
        <x:f>INDEX(Dataset!$B$5:$B$8,C28)</x:f>
        <x:v>1</x:v>
      </x:c>
      <x:c r="E28" t="n">
        <x:f>INDEX(Dataset!$C$5:$C$8,C28)</x:f>
        <x:v>1</x:v>
      </x:c>
      <x:c r="F28" t="n">
        <x:f>INDEX(Dataset!$D$5:$D$8,C28)</x:f>
        <x:v>1</x:v>
      </x:c>
      <x:c r="G28" t="n">
        <x:f>M27</x:f>
        <x:v>0.43621205633533916</x:v>
      </x:c>
      <x:c r="H28" t="n">
        <x:f>N27</x:f>
        <x:v>0.46811087917814215</x:v>
      </x:c>
      <x:c r="I28" t="n">
        <x:f>O27</x:f>
        <x:v>-0.5288499840949152</x:v>
      </x:c>
      <x:c r="J28" t="n">
        <x:f>G28*D28+H28*E28+I28</x:f>
        <x:v>0.37547295141856607</x:v>
      </x:c>
      <x:c r="K28" t="n">
        <x:f>F28-J28</x:f>
        <x:v>0.6245270485814339</x:v>
      </x:c>
      <x:c r="L28" t="n">
        <x:f>K28^2</x:f>
        <x:v>0.39003403440983675</x:v>
      </x:c>
      <x:c r="M28" t="n">
        <x:f>G28+Parameters!$B$5*K28*D28</x:f>
        <x:v>0.4986647611934826</x:v>
      </x:c>
      <x:c r="N28" t="n">
        <x:f>H28+Parameters!$B$5*K28*E28</x:f>
        <x:v>0.5305635840362856</x:v>
      </x:c>
      <x:c r="O28" t="n">
        <x:f>I28+Parameters!$B$5*K28</x:f>
        <x:v>-0.4663972792367718</x:v>
      </x:c>
    </x:row>
    <x:row r="29">
      <x:c r="A29" t="n">
        <x:f>25</x:f>
        <x:v>25</x:v>
      </x:c>
      <x:c r="B29" t="n">
        <x:f>INT((A29-1)/4)+1</x:f>
        <x:v>7</x:v>
      </x:c>
      <x:c r="C29" t="n">
        <x:f>MOD(A29-1,4)+1</x:f>
        <x:v>1</x:v>
      </x:c>
      <x:c r="D29" t="n">
        <x:f>INDEX(Dataset!$B$5:$B$8,C29)</x:f>
        <x:v>-1</x:v>
      </x:c>
      <x:c r="E29" t="n">
        <x:f>INDEX(Dataset!$C$5:$C$8,C29)</x:f>
        <x:v>-1</x:v>
      </x:c>
      <x:c r="F29" t="n">
        <x:f>INDEX(Dataset!$D$5:$D$8,C29)</x:f>
        <x:v>-1</x:v>
      </x:c>
      <x:c r="G29" t="n">
        <x:f>M28</x:f>
        <x:v>0.4986647611934826</x:v>
      </x:c>
      <x:c r="H29" t="n">
        <x:f>N28</x:f>
        <x:v>0.5305635840362856</x:v>
      </x:c>
      <x:c r="I29" t="n">
        <x:f>O28</x:f>
        <x:v>-0.4663972792367718</x:v>
      </x:c>
      <x:c r="J29" t="n">
        <x:f>G29*D29+H29*E29+I29</x:f>
        <x:v>-1.49562562446654</x:v>
      </x:c>
      <x:c r="K29" t="n">
        <x:f>F29-J29</x:f>
        <x:v>0.49562562446654</x:v>
      </x:c>
      <x:c r="L29" t="n">
        <x:f>K29^2</x:f>
        <x:v>0.24564475962784774</x:v>
      </x:c>
      <x:c r="M29" t="n">
        <x:f>G29+Parameters!$B$5*K29*D29</x:f>
        <x:v>0.44910219874682855</x:v>
      </x:c>
      <x:c r="N29" t="n">
        <x:f>H29+Parameters!$B$5*K29*E29</x:f>
        <x:v>0.48100102158963154</x:v>
      </x:c>
      <x:c r="O29" t="n">
        <x:f>I29+Parameters!$B$5*K29</x:f>
        <x:v>-0.4168347167901178</x:v>
      </x:c>
    </x:row>
    <x:row r="30">
      <x:c r="A30" t="n">
        <x:f>26</x:f>
        <x:v>26</x:v>
      </x:c>
      <x:c r="B30" t="n">
        <x:f>INT((A30-1)/4)+1</x:f>
        <x:v>7</x:v>
      </x:c>
      <x:c r="C30" t="n">
        <x:f>MOD(A30-1,4)+1</x:f>
        <x:v>2</x:v>
      </x:c>
      <x:c r="D30" t="n">
        <x:f>INDEX(Dataset!$B$5:$B$8,C30)</x:f>
        <x:v>-1</x:v>
      </x:c>
      <x:c r="E30" t="n">
        <x:f>INDEX(Dataset!$C$5:$C$8,C30)</x:f>
        <x:v>1</x:v>
      </x:c>
      <x:c r="F30" t="n">
        <x:f>INDEX(Dataset!$D$5:$D$8,C30)</x:f>
        <x:v>-1</x:v>
      </x:c>
      <x:c r="G30" t="n">
        <x:f>M29</x:f>
        <x:v>0.44910219874682855</x:v>
      </x:c>
      <x:c r="H30" t="n">
        <x:f>N29</x:f>
        <x:v>0.48100102158963154</x:v>
      </x:c>
      <x:c r="I30" t="n">
        <x:f>O29</x:f>
        <x:v>-0.4168347167901178</x:v>
      </x:c>
      <x:c r="J30" t="n">
        <x:f>G30*D30+H30*E30+I30</x:f>
        <x:v>-0.3849358939473148</x:v>
      </x:c>
      <x:c r="K30" t="n">
        <x:f>F30-J30</x:f>
        <x:v>-0.6150641060526851</x:v>
      </x:c>
      <x:c r="L30" t="n">
        <x:f>K30^2</x:f>
        <x:v>0.3783038545543887</x:v>
      </x:c>
      <x:c r="M30" t="n">
        <x:f>G30+Parameters!$B$5*K30*D30</x:f>
        <x:v>0.5106086093520971</x:v>
      </x:c>
      <x:c r="N30" t="n">
        <x:f>H30+Parameters!$B$5*K30*E30</x:f>
        <x:v>0.419494610984363</x:v>
      </x:c>
      <x:c r="O30" t="n">
        <x:f>I30+Parameters!$B$5*K30</x:f>
        <x:v>-0.4783411273953863</x:v>
      </x:c>
    </x:row>
    <x:row r="31">
      <x:c r="A31" t="n">
        <x:f>27</x:f>
        <x:v>27</x:v>
      </x:c>
      <x:c r="B31" t="n">
        <x:f>INT((A31-1)/4)+1</x:f>
        <x:v>7</x:v>
      </x:c>
      <x:c r="C31" t="n">
        <x:f>MOD(A31-1,4)+1</x:f>
        <x:v>3</x:v>
      </x:c>
      <x:c r="D31" t="n">
        <x:f>INDEX(Dataset!$B$5:$B$8,C31)</x:f>
        <x:v>1</x:v>
      </x:c>
      <x:c r="E31" t="n">
        <x:f>INDEX(Dataset!$C$5:$C$8,C31)</x:f>
        <x:v>-1</x:v>
      </x:c>
      <x:c r="F31" t="n">
        <x:f>INDEX(Dataset!$D$5:$D$8,C31)</x:f>
        <x:v>-1</x:v>
      </x:c>
      <x:c r="G31" t="n">
        <x:f>M30</x:f>
        <x:v>0.5106086093520971</x:v>
      </x:c>
      <x:c r="H31" t="n">
        <x:f>N30</x:f>
        <x:v>0.419494610984363</x:v>
      </x:c>
      <x:c r="I31" t="n">
        <x:f>O30</x:f>
        <x:v>-0.4783411273953863</x:v>
      </x:c>
      <x:c r="J31" t="n">
        <x:f>G31*D31+H31*E31+I31</x:f>
        <x:v>-0.3872271290276523</x:v>
      </x:c>
      <x:c r="K31" t="n">
        <x:f>F31-J31</x:f>
        <x:v>-0.6127728709723477</x:v>
      </x:c>
      <x:c r="L31" t="n">
        <x:f>K31^2</x:f>
        <x:v>0.37549059139969343</x:v>
      </x:c>
      <x:c r="M31" t="n">
        <x:f>G31+Parameters!$B$5*K31*D31</x:f>
        <x:v>0.4493313222548623</x:v>
      </x:c>
      <x:c r="N31" t="n">
        <x:f>H31+Parameters!$B$5*K31*E31</x:f>
        <x:v>0.4807718980815978</x:v>
      </x:c>
      <x:c r="O31" t="n">
        <x:f>I31+Parameters!$B$5*K31</x:f>
        <x:v>-0.539618414492621</x:v>
      </x:c>
    </x:row>
    <x:row r="32">
      <x:c r="A32" t="n">
        <x:f>28</x:f>
        <x:v>28</x:v>
      </x:c>
      <x:c r="B32" t="n">
        <x:f>INT((A32-1)/4)+1</x:f>
        <x:v>7</x:v>
      </x:c>
      <x:c r="C32" t="n">
        <x:f>MOD(A32-1,4)+1</x:f>
        <x:v>4</x:v>
      </x:c>
      <x:c r="D32" t="n">
        <x:f>INDEX(Dataset!$B$5:$B$8,C32)</x:f>
        <x:v>1</x:v>
      </x:c>
      <x:c r="E32" t="n">
        <x:f>INDEX(Dataset!$C$5:$C$8,C32)</x:f>
        <x:v>1</x:v>
      </x:c>
      <x:c r="F32" t="n">
        <x:f>INDEX(Dataset!$D$5:$D$8,C32)</x:f>
        <x:v>1</x:v>
      </x:c>
      <x:c r="G32" t="n">
        <x:f>M31</x:f>
        <x:v>0.4493313222548623</x:v>
      </x:c>
      <x:c r="H32" t="n">
        <x:f>N31</x:f>
        <x:v>0.4807718980815978</x:v>
      </x:c>
      <x:c r="I32" t="n">
        <x:f>O31</x:f>
        <x:v>-0.539618414492621</x:v>
      </x:c>
      <x:c r="J32" t="n">
        <x:f>G32*D32+H32*E32+I32</x:f>
        <x:v>0.39048480584383904</x:v>
      </x:c>
      <x:c r="K32" t="n">
        <x:f>F32-J32</x:f>
        <x:v>0.609515194156161</x:v>
      </x:c>
      <x:c r="L32" t="n">
        <x:f>K32^2</x:f>
        <x:v>0.3715087719072226</x:v>
      </x:c>
      <x:c r="M32" t="n">
        <x:f>G32+Parameters!$B$5*K32*D32</x:f>
        <x:v>0.5102828416704783</x:v>
      </x:c>
      <x:c r="N32" t="n">
        <x:f>H32+Parameters!$B$5*K32*E32</x:f>
        <x:v>0.5417234174972139</x:v>
      </x:c>
      <x:c r="O32" t="n">
        <x:f>I32+Parameters!$B$5*K32</x:f>
        <x:v>-0.47866689507700494</x:v>
      </x:c>
    </x:row>
    <x:row r="33">
      <x:c r="A33" t="n">
        <x:f>29</x:f>
        <x:v>29</x:v>
      </x:c>
      <x:c r="B33" t="n">
        <x:f>INT((A33-1)/4)+1</x:f>
        <x:v>8</x:v>
      </x:c>
      <x:c r="C33" t="n">
        <x:f>MOD(A33-1,4)+1</x:f>
        <x:v>1</x:v>
      </x:c>
      <x:c r="D33" t="n">
        <x:f>INDEX(Dataset!$B$5:$B$8,C33)</x:f>
        <x:v>-1</x:v>
      </x:c>
      <x:c r="E33" t="n">
        <x:f>INDEX(Dataset!$C$5:$C$8,C33)</x:f>
        <x:v>-1</x:v>
      </x:c>
      <x:c r="F33" t="n">
        <x:f>INDEX(Dataset!$D$5:$D$8,C33)</x:f>
        <x:v>-1</x:v>
      </x:c>
      <x:c r="G33" t="n">
        <x:f>M32</x:f>
        <x:v>0.5102828416704783</x:v>
      </x:c>
      <x:c r="H33" t="n">
        <x:f>N32</x:f>
        <x:v>0.5417234174972139</x:v>
      </x:c>
      <x:c r="I33" t="n">
        <x:f>O32</x:f>
        <x:v>-0.47866689507700494</x:v>
      </x:c>
      <x:c r="J33" t="n">
        <x:f>G33*D33+H33*E33+I33</x:f>
        <x:v>-1.5306731542446972</x:v>
      </x:c>
      <x:c r="K33" t="n">
        <x:f>F33-J33</x:f>
        <x:v>0.5306731542446972</x:v>
      </x:c>
      <x:c r="L33" t="n">
        <x:f>K33^2</x:f>
        <x:v>0.28161399663601616</x:v>
      </x:c>
      <x:c r="M33" t="n">
        <x:f>G33+Parameters!$B$5*K33*D33</x:f>
        <x:v>0.4572155262460086</x:v>
      </x:c>
      <x:c r="N33" t="n">
        <x:f>H33+Parameters!$B$5*K33*E33</x:f>
        <x:v>0.4886561020727441</x:v>
      </x:c>
      <x:c r="O33" t="n">
        <x:f>I33+Parameters!$B$5*K33</x:f>
        <x:v>-0.4255995796525352</x:v>
      </x:c>
    </x:row>
    <x:row r="34">
      <x:c r="A34" t="n">
        <x:f>30</x:f>
        <x:v>30</x:v>
      </x:c>
      <x:c r="B34" t="n">
        <x:f>INT((A34-1)/4)+1</x:f>
        <x:v>8</x:v>
      </x:c>
      <x:c r="C34" t="n">
        <x:f>MOD(A34-1,4)+1</x:f>
        <x:v>2</x:v>
      </x:c>
      <x:c r="D34" t="n">
        <x:f>INDEX(Dataset!$B$5:$B$8,C34)</x:f>
        <x:v>-1</x:v>
      </x:c>
      <x:c r="E34" t="n">
        <x:f>INDEX(Dataset!$C$5:$C$8,C34)</x:f>
        <x:v>1</x:v>
      </x:c>
      <x:c r="F34" t="n">
        <x:f>INDEX(Dataset!$D$5:$D$8,C34)</x:f>
        <x:v>-1</x:v>
      </x:c>
      <x:c r="G34" t="n">
        <x:f>M33</x:f>
        <x:v>0.4572155262460086</x:v>
      </x:c>
      <x:c r="H34" t="n">
        <x:f>N33</x:f>
        <x:v>0.4886561020727441</x:v>
      </x:c>
      <x:c r="I34" t="n">
        <x:f>O33</x:f>
        <x:v>-0.4255995796525352</x:v>
      </x:c>
      <x:c r="J34" t="n">
        <x:f>G34*D34+H34*E34+I34</x:f>
        <x:v>-0.39415900382579966</x:v>
      </x:c>
      <x:c r="K34" t="n">
        <x:f>F34-J34</x:f>
        <x:v>-0.6058409961742004</x:v>
      </x:c>
      <x:c r="L34" t="n">
        <x:f>K34^2</x:f>
        <x:v>0.3670433126453475</x:v>
      </x:c>
      <x:c r="M34" t="n">
        <x:f>G34+Parameters!$B$5*K34*D34</x:f>
        <x:v>0.5177996258634286</x:v>
      </x:c>
      <x:c r="N34" t="n">
        <x:f>H34+Parameters!$B$5*K34*E34</x:f>
        <x:v>0.42807200245532406</x:v>
      </x:c>
      <x:c r="O34" t="n">
        <x:f>I34+Parameters!$B$5*K34</x:f>
        <x:v>-0.48618367926995526</x:v>
      </x:c>
    </x:row>
    <x:row r="35">
      <x:c r="A35" t="n">
        <x:f>31</x:f>
        <x:v>31</x:v>
      </x:c>
      <x:c r="B35" t="n">
        <x:f>INT((A35-1)/4)+1</x:f>
        <x:v>8</x:v>
      </x:c>
      <x:c r="C35" t="n">
        <x:f>MOD(A35-1,4)+1</x:f>
        <x:v>3</x:v>
      </x:c>
      <x:c r="D35" t="n">
        <x:f>INDEX(Dataset!$B$5:$B$8,C35)</x:f>
        <x:v>1</x:v>
      </x:c>
      <x:c r="E35" t="n">
        <x:f>INDEX(Dataset!$C$5:$C$8,C35)</x:f>
        <x:v>-1</x:v>
      </x:c>
      <x:c r="F35" t="n">
        <x:f>INDEX(Dataset!$D$5:$D$8,C35)</x:f>
        <x:v>-1</x:v>
      </x:c>
      <x:c r="G35" t="n">
        <x:f>M34</x:f>
        <x:v>0.5177996258634286</x:v>
      </x:c>
      <x:c r="H35" t="n">
        <x:f>N34</x:f>
        <x:v>0.42807200245532406</x:v>
      </x:c>
      <x:c r="I35" t="n">
        <x:f>O34</x:f>
        <x:v>-0.48618367926995526</x:v>
      </x:c>
      <x:c r="J35" t="n">
        <x:f>G35*D35+H35*E35+I35</x:f>
        <x:v>-0.3964560558618507</x:v>
      </x:c>
      <x:c r="K35" t="n">
        <x:f>F35-J35</x:f>
        <x:v>-0.6035439441381494</x:v>
      </x:c>
      <x:c r="L35" t="n">
        <x:f>K35^2</x:f>
        <x:v>0.36426529250583356</x:v>
      </x:c>
      <x:c r="M35" t="n">
        <x:f>G35+Parameters!$B$5*K35*D35</x:f>
        <x:v>0.4574452314496137</x:v>
      </x:c>
      <x:c r="N35" t="n">
        <x:f>H35+Parameters!$B$5*K35*E35</x:f>
        <x:v>0.488426396869139</x:v>
      </x:c>
      <x:c r="O35" t="n">
        <x:f>I35+Parameters!$B$5*K35</x:f>
        <x:v>-0.5465380736837702</x:v>
      </x:c>
    </x:row>
    <x:row r="36">
      <x:c r="A36" t="n">
        <x:f>32</x:f>
        <x:v>32</x:v>
      </x:c>
      <x:c r="B36" t="n">
        <x:f>INT((A36-1)/4)+1</x:f>
        <x:v>8</x:v>
      </x:c>
      <x:c r="C36" t="n">
        <x:f>MOD(A36-1,4)+1</x:f>
        <x:v>4</x:v>
      </x:c>
      <x:c r="D36" t="n">
        <x:f>INDEX(Dataset!$B$5:$B$8,C36)</x:f>
        <x:v>1</x:v>
      </x:c>
      <x:c r="E36" t="n">
        <x:f>INDEX(Dataset!$C$5:$C$8,C36)</x:f>
        <x:v>1</x:v>
      </x:c>
      <x:c r="F36" t="n">
        <x:f>INDEX(Dataset!$D$5:$D$8,C36)</x:f>
        <x:v>1</x:v>
      </x:c>
      <x:c r="G36" t="n">
        <x:f>M35</x:f>
        <x:v>0.4574452314496137</x:v>
      </x:c>
      <x:c r="H36" t="n">
        <x:f>N35</x:f>
        <x:v>0.488426396869139</x:v>
      </x:c>
      <x:c r="I36" t="n">
        <x:f>O35</x:f>
        <x:v>-0.5465380736837702</x:v>
      </x:c>
      <x:c r="J36" t="n">
        <x:f>G36*D36+H36*E36+I36</x:f>
        <x:v>0.39933355463498255</x:v>
      </x:c>
      <x:c r="K36" t="n">
        <x:f>F36-J36</x:f>
        <x:v>0.6006664453650175</x:v>
      </x:c>
      <x:c r="L36" t="n">
        <x:f>K36^2</x:f>
        <x:v>0.3608001785874455</x:v>
      </x:c>
      <x:c r="M36" t="n">
        <x:f>G36+Parameters!$B$5*K36*D36</x:f>
        <x:v>0.5175118759861155</x:v>
      </x:c>
      <x:c r="N36" t="n">
        <x:f>H36+Parameters!$B$5*K36*E36</x:f>
        <x:v>0.5484930414056408</x:v>
      </x:c>
      <x:c r="O36" t="n">
        <x:f>I36+Parameters!$B$5*K36</x:f>
        <x:v>-0.48647142914726843</x:v>
      </x:c>
    </x:row>
    <x:row r="37">
      <x:c r="A37" t="n">
        <x:f>33</x:f>
        <x:v>33</x:v>
      </x:c>
      <x:c r="B37" t="n">
        <x:f>INT((A37-1)/4)+1</x:f>
        <x:v>9</x:v>
      </x:c>
      <x:c r="C37" t="n">
        <x:f>MOD(A37-1,4)+1</x:f>
        <x:v>1</x:v>
      </x:c>
      <x:c r="D37" t="n">
        <x:f>INDEX(Dataset!$B$5:$B$8,C37)</x:f>
        <x:v>-1</x:v>
      </x:c>
      <x:c r="E37" t="n">
        <x:f>INDEX(Dataset!$C$5:$C$8,C37)</x:f>
        <x:v>-1</x:v>
      </x:c>
      <x:c r="F37" t="n">
        <x:f>INDEX(Dataset!$D$5:$D$8,C37)</x:f>
        <x:v>-1</x:v>
      </x:c>
      <x:c r="G37" t="n">
        <x:f>M36</x:f>
        <x:v>0.5175118759861155</x:v>
      </x:c>
      <x:c r="H37" t="n">
        <x:f>N36</x:f>
        <x:v>0.5484930414056408</x:v>
      </x:c>
      <x:c r="I37" t="n">
        <x:f>O36</x:f>
        <x:v>-0.48647142914726843</x:v>
      </x:c>
      <x:c r="J37" t="n">
        <x:f>G37*D37+H37*E37+I37</x:f>
        <x:v>-1.5524763465390248</x:v>
      </x:c>
      <x:c r="K37" t="n">
        <x:f>F37-J37</x:f>
        <x:v>0.5524763465390248</x:v>
      </x:c>
      <x:c r="L37" t="n">
        <x:f>K37^2</x:f>
        <x:v>0.3052301134851086</x:v>
      </x:c>
      <x:c r="M37" t="n">
        <x:f>G37+Parameters!$B$5*K37*D37</x:f>
        <x:v>0.462264241332213</x:v>
      </x:c>
      <x:c r="N37" t="n">
        <x:f>H37+Parameters!$B$5*K37*E37</x:f>
        <x:v>0.49324540675173834</x:v>
      </x:c>
      <x:c r="O37" t="n">
        <x:f>I37+Parameters!$B$5*K37</x:f>
        <x:v>-0.43122379449336595</x:v>
      </x:c>
    </x:row>
    <x:row r="38">
      <x:c r="A38" t="n">
        <x:f>34</x:f>
        <x:v>34</x:v>
      </x:c>
      <x:c r="B38" t="n">
        <x:f>INT((A38-1)/4)+1</x:f>
        <x:v>9</x:v>
      </x:c>
      <x:c r="C38" t="n">
        <x:f>MOD(A38-1,4)+1</x:f>
        <x:v>2</x:v>
      </x:c>
      <x:c r="D38" t="n">
        <x:f>INDEX(Dataset!$B$5:$B$8,C38)</x:f>
        <x:v>-1</x:v>
      </x:c>
      <x:c r="E38" t="n">
        <x:f>INDEX(Dataset!$C$5:$C$8,C38)</x:f>
        <x:v>1</x:v>
      </x:c>
      <x:c r="F38" t="n">
        <x:f>INDEX(Dataset!$D$5:$D$8,C38)</x:f>
        <x:v>-1</x:v>
      </x:c>
      <x:c r="G38" t="n">
        <x:f>M37</x:f>
        <x:v>0.462264241332213</x:v>
      </x:c>
      <x:c r="H38" t="n">
        <x:f>N37</x:f>
        <x:v>0.49324540675173834</x:v>
      </x:c>
      <x:c r="I38" t="n">
        <x:f>O37</x:f>
        <x:v>-0.43122379449336595</x:v>
      </x:c>
      <x:c r="J38" t="n">
        <x:f>G38*D38+H38*E38+I38</x:f>
        <x:v>-0.4002426290738406</x:v>
      </x:c>
      <x:c r="K38" t="n">
        <x:f>F38-J38</x:f>
        <x:v>-0.5997573709261594</x:v>
      </x:c>
      <x:c r="L38" t="n">
        <x:f>K38^2</x:f>
        <x:v>0.3597089039802588</x:v>
      </x:c>
      <x:c r="M38" t="n">
        <x:f>G38+Parameters!$B$5*K38*D38</x:f>
        <x:v>0.5222399784248289</x:v>
      </x:c>
      <x:c r="N38" t="n">
        <x:f>H38+Parameters!$B$5*K38*E38</x:f>
        <x:v>0.4332696696591224</x:v>
      </x:c>
      <x:c r="O38" t="n">
        <x:f>I38+Parameters!$B$5*K38</x:f>
        <x:v>-0.4911995315859819</x:v>
      </x:c>
    </x:row>
    <x:row r="39">
      <x:c r="A39" t="n">
        <x:f>35</x:f>
        <x:v>35</x:v>
      </x:c>
      <x:c r="B39" t="n">
        <x:f>INT((A39-1)/4)+1</x:f>
        <x:v>9</x:v>
      </x:c>
      <x:c r="C39" t="n">
        <x:f>MOD(A39-1,4)+1</x:f>
        <x:v>3</x:v>
      </x:c>
      <x:c r="D39" t="n">
        <x:f>INDEX(Dataset!$B$5:$B$8,C39)</x:f>
        <x:v>1</x:v>
      </x:c>
      <x:c r="E39" t="n">
        <x:f>INDEX(Dataset!$C$5:$C$8,C39)</x:f>
        <x:v>-1</x:v>
      </x:c>
      <x:c r="F39" t="n">
        <x:f>INDEX(Dataset!$D$5:$D$8,C39)</x:f>
        <x:v>-1</x:v>
      </x:c>
      <x:c r="G39" t="n">
        <x:f>M38</x:f>
        <x:v>0.5222399784248289</x:v>
      </x:c>
      <x:c r="H39" t="n">
        <x:f>N38</x:f>
        <x:v>0.4332696696591224</x:v>
      </x:c>
      <x:c r="I39" t="n">
        <x:f>O38</x:f>
        <x:v>-0.4911995315859819</x:v>
      </x:c>
      <x:c r="J39" t="n">
        <x:f>G39*D39+H39*E39+I39</x:f>
        <x:v>-0.40222922282027535</x:v>
      </x:c>
      <x:c r="K39" t="n">
        <x:f>F39-J39</x:f>
        <x:v>-0.5977707771797247</x:v>
      </x:c>
      <x:c r="L39" t="n">
        <x:f>K39^2</x:f>
        <x:v>0.3573299020500521</x:v>
      </x:c>
      <x:c r="M39" t="n">
        <x:f>G39+Parameters!$B$5*K39*D39</x:f>
        <x:v>0.4624629007068565</x:v>
      </x:c>
      <x:c r="N39" t="n">
        <x:f>H39+Parameters!$B$5*K39*E39</x:f>
        <x:v>0.49304674737709486</x:v>
      </x:c>
      <x:c r="O39" t="n">
        <x:f>I39+Parameters!$B$5*K39</x:f>
        <x:v>-0.5509766093039543</x:v>
      </x:c>
    </x:row>
    <x:row r="40">
      <x:c r="A40" t="n">
        <x:f>36</x:f>
        <x:v>36</x:v>
      </x:c>
      <x:c r="B40" t="n">
        <x:f>INT((A40-1)/4)+1</x:f>
        <x:v>9</x:v>
      </x:c>
      <x:c r="C40" t="n">
        <x:f>MOD(A40-1,4)+1</x:f>
        <x:v>4</x:v>
      </x:c>
      <x:c r="D40" t="n">
        <x:f>INDEX(Dataset!$B$5:$B$8,C40)</x:f>
        <x:v>1</x:v>
      </x:c>
      <x:c r="E40" t="n">
        <x:f>INDEX(Dataset!$C$5:$C$8,C40)</x:f>
        <x:v>1</x:v>
      </x:c>
      <x:c r="F40" t="n">
        <x:f>INDEX(Dataset!$D$5:$D$8,C40)</x:f>
        <x:v>1</x:v>
      </x:c>
      <x:c r="G40" t="n">
        <x:f>M39</x:f>
        <x:v>0.4624629007068565</x:v>
      </x:c>
      <x:c r="H40" t="n">
        <x:f>N39</x:f>
        <x:v>0.49304674737709486</x:v>
      </x:c>
      <x:c r="I40" t="n">
        <x:f>O39</x:f>
        <x:v>-0.5509766093039543</x:v>
      </x:c>
      <x:c r="J40" t="n">
        <x:f>G40*D40+H40*E40+I40</x:f>
        <x:v>0.404533038779997</x:v>
      </x:c>
      <x:c r="K40" t="n">
        <x:f>F40-J40</x:f>
        <x:v>0.595466961220003</x:v>
      </x:c>
      <x:c r="L40" t="n">
        <x:f>K40^2</x:f>
        <x:v>0.3545809019045845</x:v>
      </x:c>
      <x:c r="M40" t="n">
        <x:f>G40+Parameters!$B$5*K40*D40</x:f>
        <x:v>0.5220095968288567</x:v>
      </x:c>
      <x:c r="N40" t="n">
        <x:f>H40+Parameters!$B$5*K40*E40</x:f>
        <x:v>0.5525934434990951</x:v>
      </x:c>
      <x:c r="O40" t="n">
        <x:f>I40+Parameters!$B$5*K40</x:f>
        <x:v>-0.491429913181954</x:v>
      </x:c>
    </x:row>
    <x:row r="41">
      <x:c r="A41" t="n">
        <x:f>37</x:f>
        <x:v>37</x:v>
      </x:c>
      <x:c r="B41" t="n">
        <x:f>INT((A41-1)/4)+1</x:f>
        <x:v>10</x:v>
      </x:c>
      <x:c r="C41" t="n">
        <x:f>MOD(A41-1,4)+1</x:f>
        <x:v>1</x:v>
      </x:c>
      <x:c r="D41" t="n">
        <x:f>INDEX(Dataset!$B$5:$B$8,C41)</x:f>
        <x:v>-1</x:v>
      </x:c>
      <x:c r="E41" t="n">
        <x:f>INDEX(Dataset!$C$5:$C$8,C41)</x:f>
        <x:v>-1</x:v>
      </x:c>
      <x:c r="F41" t="n">
        <x:f>INDEX(Dataset!$D$5:$D$8,C41)</x:f>
        <x:v>-1</x:v>
      </x:c>
      <x:c r="G41" t="n">
        <x:f>M40</x:f>
        <x:v>0.5220095968288567</x:v>
      </x:c>
      <x:c r="H41" t="n">
        <x:f>N40</x:f>
        <x:v>0.5525934434990951</x:v>
      </x:c>
      <x:c r="I41" t="n">
        <x:f>O40</x:f>
        <x:v>-0.491429913181954</x:v>
      </x:c>
      <x:c r="J41" t="n">
        <x:f>G41*D41+H41*E41+I41</x:f>
        <x:v>-1.5660329535099058</x:v>
      </x:c>
      <x:c r="K41" t="n">
        <x:f>F41-J41</x:f>
        <x:v>0.5660329535099058</x:v>
      </x:c>
      <x:c r="L41" t="n">
        <x:f>K41^2</x:f>
        <x:v>0.32039330445914715</x:v>
      </x:c>
      <x:c r="M41" t="n">
        <x:f>G41+Parameters!$B$5*K41*D41</x:f>
        <x:v>0.46540630147786616</x:v>
      </x:c>
      <x:c r="N41" t="n">
        <x:f>H41+Parameters!$B$5*K41*E41</x:f>
        <x:v>0.49599014814810455</x:v>
      </x:c>
      <x:c r="O41" t="n">
        <x:f>I41+Parameters!$B$5*K41</x:f>
        <x:v>-0.43482661783096344</x:v>
      </x:c>
    </x:row>
    <x:row r="42">
      <x:c r="A42" t="n">
        <x:f>38</x:f>
        <x:v>38</x:v>
      </x:c>
      <x:c r="B42" t="n">
        <x:f>INT((A42-1)/4)+1</x:f>
        <x:v>10</x:v>
      </x:c>
      <x:c r="C42" t="n">
        <x:f>MOD(A42-1,4)+1</x:f>
        <x:v>2</x:v>
      </x:c>
      <x:c r="D42" t="n">
        <x:f>INDEX(Dataset!$B$5:$B$8,C42)</x:f>
        <x:v>-1</x:v>
      </x:c>
      <x:c r="E42" t="n">
        <x:f>INDEX(Dataset!$C$5:$C$8,C42)</x:f>
        <x:v>1</x:v>
      </x:c>
      <x:c r="F42" t="n">
        <x:f>INDEX(Dataset!$D$5:$D$8,C42)</x:f>
        <x:v>-1</x:v>
      </x:c>
      <x:c r="G42" t="n">
        <x:f>M41</x:f>
        <x:v>0.46540630147786616</x:v>
      </x:c>
      <x:c r="H42" t="n">
        <x:f>N41</x:f>
        <x:v>0.49599014814810455</x:v>
      </x:c>
      <x:c r="I42" t="n">
        <x:f>O41</x:f>
        <x:v>-0.43482661783096344</x:v>
      </x:c>
      <x:c r="J42" t="n">
        <x:f>G42*D42+H42*E42+I42</x:f>
        <x:v>-0.40424277116072505</x:v>
      </x:c>
      <x:c r="K42" t="n">
        <x:f>F42-J42</x:f>
        <x:v>-0.595757228839275</x:v>
      </x:c>
      <x:c r="L42" t="n">
        <x:f>K42^2</x:f>
        <x:v>0.35492667571425224</x:v>
      </x:c>
      <x:c r="M42" t="n">
        <x:f>G42+Parameters!$B$5*K42*D42</x:f>
        <x:v>0.5249820243617936</x:v>
      </x:c>
      <x:c r="N42" t="n">
        <x:f>H42+Parameters!$B$5*K42*E42</x:f>
        <x:v>0.43641442526417706</x:v>
      </x:c>
      <x:c r="O42" t="n">
        <x:f>I42+Parameters!$B$5*K42</x:f>
        <x:v>-0.4944023407148909</x:v>
      </x:c>
    </x:row>
    <x:row r="43">
      <x:c r="A43" t="n">
        <x:f>39</x:f>
        <x:v>39</x:v>
      </x:c>
      <x:c r="B43" t="n">
        <x:f>INT((A43-1)/4)+1</x:f>
        <x:v>10</x:v>
      </x:c>
      <x:c r="C43" t="n">
        <x:f>MOD(A43-1,4)+1</x:f>
        <x:v>3</x:v>
      </x:c>
      <x:c r="D43" t="n">
        <x:f>INDEX(Dataset!$B$5:$B$8,C43)</x:f>
        <x:v>1</x:v>
      </x:c>
      <x:c r="E43" t="n">
        <x:f>INDEX(Dataset!$C$5:$C$8,C43)</x:f>
        <x:v>-1</x:v>
      </x:c>
      <x:c r="F43" t="n">
        <x:f>INDEX(Dataset!$D$5:$D$8,C43)</x:f>
        <x:v>-1</x:v>
      </x:c>
      <x:c r="G43" t="n">
        <x:f>M42</x:f>
        <x:v>0.5249820243617936</x:v>
      </x:c>
      <x:c r="H43" t="n">
        <x:f>N42</x:f>
        <x:v>0.43641442526417706</x:v>
      </x:c>
      <x:c r="I43" t="n">
        <x:f>O42</x:f>
        <x:v>-0.4944023407148909</x:v>
      </x:c>
      <x:c r="J43" t="n">
        <x:f>G43*D43+H43*E43+I43</x:f>
        <x:v>-0.40583474161727434</x:v>
      </x:c>
      <x:c r="K43" t="n">
        <x:f>F43-J43</x:f>
        <x:v>-0.5941652583827257</x:v>
      </x:c>
      <x:c r="L43" t="n">
        <x:f>K43^2</x:f>
        <x:v>0.3530323542690112</x:v>
      </x:c>
      <x:c r="M43" t="n">
        <x:f>G43+Parameters!$B$5*K43*D43</x:f>
        <x:v>0.4655654985235211</x:v>
      </x:c>
      <x:c r="N43" t="n">
        <x:f>H43+Parameters!$B$5*K43*E43</x:f>
        <x:v>0.4958309511024496</x:v>
      </x:c>
      <x:c r="O43" t="n">
        <x:f>I43+Parameters!$B$5*K43</x:f>
        <x:v>-0.5538188665531635</x:v>
      </x:c>
    </x:row>
    <x:row r="44">
      <x:c r="A44" t="n">
        <x:f>40</x:f>
        <x:v>40</x:v>
      </x:c>
      <x:c r="B44" t="n">
        <x:f>INT((A44-1)/4)+1</x:f>
        <x:v>10</x:v>
      </x:c>
      <x:c r="C44" t="n">
        <x:f>MOD(A44-1,4)+1</x:f>
        <x:v>4</x:v>
      </x:c>
      <x:c r="D44" t="n">
        <x:f>INDEX(Dataset!$B$5:$B$8,C44)</x:f>
        <x:v>1</x:v>
      </x:c>
      <x:c r="E44" t="n">
        <x:f>INDEX(Dataset!$C$5:$C$8,C44)</x:f>
        <x:v>1</x:v>
      </x:c>
      <x:c r="F44" t="n">
        <x:f>INDEX(Dataset!$D$5:$D$8,C44)</x:f>
        <x:v>1</x:v>
      </x:c>
      <x:c r="G44" t="n">
        <x:f>M43</x:f>
        <x:v>0.4655654985235211</x:v>
      </x:c>
      <x:c r="H44" t="n">
        <x:f>N43</x:f>
        <x:v>0.4958309511024496</x:v>
      </x:c>
      <x:c r="I44" t="n">
        <x:f>O43</x:f>
        <x:v>-0.5538188665531635</x:v>
      </x:c>
      <x:c r="J44" t="n">
        <x:f>G44*D44+H44*E44+I44</x:f>
        <x:v>0.4075775830728072</x:v>
      </x:c>
      <x:c r="K44" t="n">
        <x:f>F44-J44</x:f>
        <x:v>0.5924224169271928</x:v>
      </x:c>
      <x:c r="L44" t="n">
        <x:f>K44^2</x:f>
        <x:v>0.3509643200778566</x:v>
      </x:c>
      <x:c r="M44" t="n">
        <x:f>G44+Parameters!$B$5*K44*D44</x:f>
        <x:v>0.5248077402162403</x:v>
      </x:c>
      <x:c r="N44" t="n">
        <x:f>H44+Parameters!$B$5*K44*E44</x:f>
        <x:v>0.5550731927951689</x:v>
      </x:c>
      <x:c r="O44" t="n">
        <x:f>I44+Parameters!$B$5*K44</x:f>
        <x:v>-0.4945766248604442</x:v>
      </x:c>
    </x:row>
    <x:row r="45">
      <x:c r="A45" t="n">
        <x:f>41</x:f>
        <x:v>41</x:v>
      </x:c>
      <x:c r="B45" t="n">
        <x:f>INT((A45-1)/4)+1</x:f>
        <x:v>11</x:v>
      </x:c>
      <x:c r="C45" t="n">
        <x:f>MOD(A45-1,4)+1</x:f>
        <x:v>1</x:v>
      </x:c>
      <x:c r="D45" t="n">
        <x:f>INDEX(Dataset!$B$5:$B$8,C45)</x:f>
        <x:v>-1</x:v>
      </x:c>
      <x:c r="E45" t="n">
        <x:f>INDEX(Dataset!$C$5:$C$8,C45)</x:f>
        <x:v>-1</x:v>
      </x:c>
      <x:c r="F45" t="n">
        <x:f>INDEX(Dataset!$D$5:$D$8,C45)</x:f>
        <x:v>-1</x:v>
      </x:c>
      <x:c r="G45" t="n">
        <x:f>M44</x:f>
        <x:v>0.5248077402162403</x:v>
      </x:c>
      <x:c r="H45" t="n">
        <x:f>N44</x:f>
        <x:v>0.5550731927951689</x:v>
      </x:c>
      <x:c r="I45" t="n">
        <x:f>O44</x:f>
        <x:v>-0.4945766248604442</x:v>
      </x:c>
      <x:c r="J45" t="n">
        <x:f>G45*D45+H45*E45+I45</x:f>
        <x:v>-1.5744575578718534</x:v>
      </x:c>
      <x:c r="K45" t="n">
        <x:f>F45-J45</x:f>
        <x:v>0.5744575578718534</x:v>
      </x:c>
      <x:c r="L45" t="n">
        <x:f>K45^2</x:f>
        <x:v>0.3300014857960938</x:v>
      </x:c>
      <x:c r="M45" t="n">
        <x:f>G45+Parameters!$B$5*K45*D45</x:f>
        <x:v>0.46736198442905497</x:v>
      </x:c>
      <x:c r="N45" t="n">
        <x:f>H45+Parameters!$B$5*K45*E45</x:f>
        <x:v>0.4976274370079835</x:v>
      </x:c>
      <x:c r="O45" t="n">
        <x:f>I45+Parameters!$B$5*K45</x:f>
        <x:v>-0.4371308690732588</x:v>
      </x:c>
    </x:row>
    <x:row r="46">
      <x:c r="A46" t="n">
        <x:f>42</x:f>
        <x:v>42</x:v>
      </x:c>
      <x:c r="B46" t="n">
        <x:f>INT((A46-1)/4)+1</x:f>
        <x:v>11</x:v>
      </x:c>
      <x:c r="C46" t="n">
        <x:f>MOD(A46-1,4)+1</x:f>
        <x:v>2</x:v>
      </x:c>
      <x:c r="D46" t="n">
        <x:f>INDEX(Dataset!$B$5:$B$8,C46)</x:f>
        <x:v>-1</x:v>
      </x:c>
      <x:c r="E46" t="n">
        <x:f>INDEX(Dataset!$C$5:$C$8,C46)</x:f>
        <x:v>1</x:v>
      </x:c>
      <x:c r="F46" t="n">
        <x:f>INDEX(Dataset!$D$5:$D$8,C46)</x:f>
        <x:v>-1</x:v>
      </x:c>
      <x:c r="G46" t="n">
        <x:f>M45</x:f>
        <x:v>0.46736198442905497</x:v>
      </x:c>
      <x:c r="H46" t="n">
        <x:f>N45</x:f>
        <x:v>0.4976274370079835</x:v>
      </x:c>
      <x:c r="I46" t="n">
        <x:f>O45</x:f>
        <x:v>-0.4371308690732588</x:v>
      </x:c>
      <x:c r="J46" t="n">
        <x:f>G46*D46+H46*E46+I46</x:f>
        <x:v>-0.4068654164943303</x:v>
      </x:c>
      <x:c r="K46" t="n">
        <x:f>F46-J46</x:f>
        <x:v>-0.5931345835056697</x:v>
      </x:c>
      <x:c r="L46" t="n">
        <x:f>K46^2</x:f>
        <x:v>0.3518086341504443</x:v>
      </x:c>
      <x:c r="M46" t="n">
        <x:f>G46+Parameters!$B$5*K46*D46</x:f>
        <x:v>0.526675442779622</x:v>
      </x:c>
      <x:c r="N46" t="n">
        <x:f>H46+Parameters!$B$5*K46*E46</x:f>
        <x:v>0.4383139786574165</x:v>
      </x:c>
      <x:c r="O46" t="n">
        <x:f>I46+Parameters!$B$5*K46</x:f>
        <x:v>-0.4964443274238258</x:v>
      </x:c>
    </x:row>
    <x:row r="47">
      <x:c r="A47" t="n">
        <x:f>43</x:f>
        <x:v>43</x:v>
      </x:c>
      <x:c r="B47" t="n">
        <x:f>INT((A47-1)/4)+1</x:f>
        <x:v>11</x:v>
      </x:c>
      <x:c r="C47" t="n">
        <x:f>MOD(A47-1,4)+1</x:f>
        <x:v>3</x:v>
      </x:c>
      <x:c r="D47" t="n">
        <x:f>INDEX(Dataset!$B$5:$B$8,C47)</x:f>
        <x:v>1</x:v>
      </x:c>
      <x:c r="E47" t="n">
        <x:f>INDEX(Dataset!$C$5:$C$8,C47)</x:f>
        <x:v>-1</x:v>
      </x:c>
      <x:c r="F47" t="n">
        <x:f>INDEX(Dataset!$D$5:$D$8,C47)</x:f>
        <x:v>-1</x:v>
      </x:c>
      <x:c r="G47" t="n">
        <x:f>M46</x:f>
        <x:v>0.526675442779622</x:v>
      </x:c>
      <x:c r="H47" t="n">
        <x:f>N46</x:f>
        <x:v>0.4383139786574165</x:v>
      </x:c>
      <x:c r="I47" t="n">
        <x:f>O46</x:f>
        <x:v>-0.4964443274238258</x:v>
      </x:c>
      <x:c r="J47" t="n">
        <x:f>G47*D47+H47*E47+I47</x:f>
        <x:v>-0.40808286330162036</x:v>
      </x:c>
      <x:c r="K47" t="n">
        <x:f>F47-J47</x:f>
        <x:v>-0.5919171366983796</x:v>
      </x:c>
      <x:c r="L47" t="n">
        <x:f>K47^2</x:f>
        <x:v>0.35036589671720825</x:v>
      </x:c>
      <x:c r="M47" t="n">
        <x:f>G47+Parameters!$B$5*K47*D47</x:f>
        <x:v>0.467483729109784</x:v>
      </x:c>
      <x:c r="N47" t="n">
        <x:f>H47+Parameters!$B$5*K47*E47</x:f>
        <x:v>0.4975056923272545</x:v>
      </x:c>
      <x:c r="O47" t="n">
        <x:f>I47+Parameters!$B$5*K47</x:f>
        <x:v>-0.5556360410936638</x:v>
      </x:c>
    </x:row>
    <x:row r="48">
      <x:c r="A48" t="n">
        <x:f>44</x:f>
        <x:v>44</x:v>
      </x:c>
      <x:c r="B48" t="n">
        <x:f>INT((A48-1)/4)+1</x:f>
        <x:v>11</x:v>
      </x:c>
      <x:c r="C48" t="n">
        <x:f>MOD(A48-1,4)+1</x:f>
        <x:v>4</x:v>
      </x:c>
      <x:c r="D48" t="n">
        <x:f>INDEX(Dataset!$B$5:$B$8,C48)</x:f>
        <x:v>1</x:v>
      </x:c>
      <x:c r="E48" t="n">
        <x:f>INDEX(Dataset!$C$5:$C$8,C48)</x:f>
        <x:v>1</x:v>
      </x:c>
      <x:c r="F48" t="n">
        <x:f>INDEX(Dataset!$D$5:$D$8,C48)</x:f>
        <x:v>1</x:v>
      </x:c>
      <x:c r="G48" t="n">
        <x:f>M47</x:f>
        <x:v>0.467483729109784</x:v>
      </x:c>
      <x:c r="H48" t="n">
        <x:f>N47</x:f>
        <x:v>0.4975056923272545</x:v>
      </x:c>
      <x:c r="I48" t="n">
        <x:f>O47</x:f>
        <x:v>-0.5556360410936638</x:v>
      </x:c>
      <x:c r="J48" t="n">
        <x:f>G48*D48+H48*E48+I48</x:f>
        <x:v>0.40935338034337465</x:v>
      </x:c>
      <x:c r="K48" t="n">
        <x:f>F48-J48</x:f>
        <x:v>0.5906466196566253</x:v>
      </x:c>
      <x:c r="L48" t="n">
        <x:f>K48^2</x:f>
        <x:v>0.34886342931179826</x:v>
      </x:c>
      <x:c r="M48" t="n">
        <x:f>G48+Parameters!$B$5*K48*D48</x:f>
        <x:v>0.5265483910754465</x:v>
      </x:c>
      <x:c r="N48" t="n">
        <x:f>H48+Parameters!$B$5*K48*E48</x:f>
        <x:v>0.556570354292917</x:v>
      </x:c>
      <x:c r="O48" t="n">
        <x:f>I48+Parameters!$B$5*K48</x:f>
        <x:v>-0.4965713791280013</x:v>
      </x:c>
    </x:row>
    <x:row r="49">
      <x:c r="A49" t="n">
        <x:f>45</x:f>
        <x:v>45</x:v>
      </x:c>
      <x:c r="B49" t="n">
        <x:f>INT((A49-1)/4)+1</x:f>
        <x:v>12</x:v>
      </x:c>
      <x:c r="C49" t="n">
        <x:f>MOD(A49-1,4)+1</x:f>
        <x:v>1</x:v>
      </x:c>
      <x:c r="D49" t="n">
        <x:f>INDEX(Dataset!$B$5:$B$8,C49)</x:f>
        <x:v>-1</x:v>
      </x:c>
      <x:c r="E49" t="n">
        <x:f>INDEX(Dataset!$C$5:$C$8,C49)</x:f>
        <x:v>-1</x:v>
      </x:c>
      <x:c r="F49" t="n">
        <x:f>INDEX(Dataset!$D$5:$D$8,C49)</x:f>
        <x:v>-1</x:v>
      </x:c>
      <x:c r="G49" t="n">
        <x:f>M48</x:f>
        <x:v>0.5265483910754465</x:v>
      </x:c>
      <x:c r="H49" t="n">
        <x:f>N48</x:f>
        <x:v>0.556570354292917</x:v>
      </x:c>
      <x:c r="I49" t="n">
        <x:f>O48</x:f>
        <x:v>-0.4965713791280013</x:v>
      </x:c>
      <x:c r="J49" t="n">
        <x:f>G49*D49+H49*E49+I49</x:f>
        <x:v>-1.5796901244963648</x:v>
      </x:c>
      <x:c r="K49" t="n">
        <x:f>F49-J49</x:f>
        <x:v>0.5796901244963648</x:v>
      </x:c>
      <x:c r="L49" t="n">
        <x:f>K49^2</x:f>
        <x:v>0.3360406404386109</x:v>
      </x:c>
      <x:c r="M49" t="n">
        <x:f>G49+Parameters!$B$5*K49*D49</x:f>
        <x:v>0.46857937862581</x:v>
      </x:c>
      <x:c r="N49" t="n">
        <x:f>H49+Parameters!$B$5*K49*E49</x:f>
        <x:v>0.49860134184328053</x:v>
      </x:c>
      <x:c r="O49" t="n">
        <x:f>I49+Parameters!$B$5*K49</x:f>
        <x:v>-0.43860236667836483</x:v>
      </x:c>
    </x:row>
    <x:row r="50">
      <x:c r="A50" t="n">
        <x:f>46</x:f>
        <x:v>46</x:v>
      </x:c>
      <x:c r="B50" t="n">
        <x:f>INT((A50-1)/4)+1</x:f>
        <x:v>12</x:v>
      </x:c>
      <x:c r="C50" t="n">
        <x:f>MOD(A50-1,4)+1</x:f>
        <x:v>2</x:v>
      </x:c>
      <x:c r="D50" t="n">
        <x:f>INDEX(Dataset!$B$5:$B$8,C50)</x:f>
        <x:v>-1</x:v>
      </x:c>
      <x:c r="E50" t="n">
        <x:f>INDEX(Dataset!$C$5:$C$8,C50)</x:f>
        <x:v>1</x:v>
      </x:c>
      <x:c r="F50" t="n">
        <x:f>INDEX(Dataset!$D$5:$D$8,C50)</x:f>
        <x:v>-1</x:v>
      </x:c>
      <x:c r="G50" t="n">
        <x:f>M49</x:f>
        <x:v>0.46857937862581</x:v>
      </x:c>
      <x:c r="H50" t="n">
        <x:f>N49</x:f>
        <x:v>0.49860134184328053</x:v>
      </x:c>
      <x:c r="I50" t="n">
        <x:f>O49</x:f>
        <x:v>-0.43860236667836483</x:v>
      </x:c>
      <x:c r="J50" t="n">
        <x:f>G50*D50+H50*E50+I50</x:f>
        <x:v>-0.4085804034608943</x:v>
      </x:c>
      <x:c r="K50" t="n">
        <x:f>F50-J50</x:f>
        <x:v>-0.5914195965391057</x:v>
      </x:c>
      <x:c r="L50" t="n">
        <x:f>K50^2</x:f>
        <x:v>0.34977713917047853</x:v>
      </x:c>
      <x:c r="M50" t="n">
        <x:f>G50+Parameters!$B$5*K50*D50</x:f>
        <x:v>0.5277213382797206</x:v>
      </x:c>
      <x:c r="N50" t="n">
        <x:f>H50+Parameters!$B$5*K50*E50</x:f>
        <x:v>0.43945938218937</x:v>
      </x:c>
      <x:c r="O50" t="n">
        <x:f>I50+Parameters!$B$5*K50</x:f>
        <x:v>-0.4977443263322754</x:v>
      </x:c>
    </x:row>
    <x:row r="51">
      <x:c r="A51" t="n">
        <x:f>47</x:f>
        <x:v>47</x:v>
      </x:c>
      <x:c r="B51" t="n">
        <x:f>INT((A51-1)/4)+1</x:f>
        <x:v>12</x:v>
      </x:c>
      <x:c r="C51" t="n">
        <x:f>MOD(A51-1,4)+1</x:f>
        <x:v>3</x:v>
      </x:c>
      <x:c r="D51" t="n">
        <x:f>INDEX(Dataset!$B$5:$B$8,C51)</x:f>
        <x:v>1</x:v>
      </x:c>
      <x:c r="E51" t="n">
        <x:f>INDEX(Dataset!$C$5:$C$8,C51)</x:f>
        <x:v>-1</x:v>
      </x:c>
      <x:c r="F51" t="n">
        <x:f>INDEX(Dataset!$D$5:$D$8,C51)</x:f>
        <x:v>-1</x:v>
      </x:c>
      <x:c r="G51" t="n">
        <x:f>M50</x:f>
        <x:v>0.5277213382797206</x:v>
      </x:c>
      <x:c r="H51" t="n">
        <x:f>N50</x:f>
        <x:v>0.43945938218937</x:v>
      </x:c>
      <x:c r="I51" t="n">
        <x:f>O50</x:f>
        <x:v>-0.4977443263322754</x:v>
      </x:c>
      <x:c r="J51" t="n">
        <x:f>G51*D51+H51*E51+I51</x:f>
        <x:v>-0.4094823702419248</x:v>
      </x:c>
      <x:c r="K51" t="n">
        <x:f>F51-J51</x:f>
        <x:v>-0.5905176297580752</x:v>
      </x:c>
      <x:c r="L51" t="n">
        <x:f>K51^2</x:f>
        <x:v>0.3487110710550952</x:v>
      </x:c>
      <x:c r="M51" t="n">
        <x:f>G51+Parameters!$B$5*K51*D51</x:f>
        <x:v>0.46866957530391307</x:v>
      </x:c>
      <x:c r="N51" t="n">
        <x:f>H51+Parameters!$B$5*K51*E51</x:f>
        <x:v>0.49851114516517747</x:v>
      </x:c>
      <x:c r="O51" t="n">
        <x:f>I51+Parameters!$B$5*K51</x:f>
        <x:v>-0.5567960893080829</x:v>
      </x:c>
    </x:row>
    <x:row r="52">
      <x:c r="A52" t="n">
        <x:f>48</x:f>
        <x:v>48</x:v>
      </x:c>
      <x:c r="B52" t="n">
        <x:f>INT((A52-1)/4)+1</x:f>
        <x:v>12</x:v>
      </x:c>
      <x:c r="C52" t="n">
        <x:f>MOD(A52-1,4)+1</x:f>
        <x:v>4</x:v>
      </x:c>
      <x:c r="D52" t="n">
        <x:f>INDEX(Dataset!$B$5:$B$8,C52)</x:f>
        <x:v>1</x:v>
      </x:c>
      <x:c r="E52" t="n">
        <x:f>INDEX(Dataset!$C$5:$C$8,C52)</x:f>
        <x:v>1</x:v>
      </x:c>
      <x:c r="F52" t="n">
        <x:f>INDEX(Dataset!$D$5:$D$8,C52)</x:f>
        <x:v>1</x:v>
      </x:c>
      <x:c r="G52" t="n">
        <x:f>M51</x:f>
        <x:v>0.46866957530391307</x:v>
      </x:c>
      <x:c r="H52" t="n">
        <x:f>N51</x:f>
        <x:v>0.49851114516517747</x:v>
      </x:c>
      <x:c r="I52" t="n">
        <x:f>O51</x:f>
        <x:v>-0.5567960893080829</x:v>
      </x:c>
      <x:c r="J52" t="n">
        <x:f>G52*D52+H52*E52+I52</x:f>
        <x:v>0.41038463116100765</x:v>
      </x:c>
      <x:c r="K52" t="n">
        <x:f>F52-J52</x:f>
        <x:v>0.5896153688389923</x:v>
      </x:c>
      <x:c r="L52" t="n">
        <x:f>K52^2</x:f>
        <x:v>0.347646283171141</x:v>
      </x:c>
      <x:c r="M52" t="n">
        <x:f>G52+Parameters!$B$5*K52*D52</x:f>
        <x:v>0.5276311121878123</x:v>
      </x:c>
      <x:c r="N52" t="n">
        <x:f>H52+Parameters!$B$5*K52*E52</x:f>
        <x:v>0.5574726820490767</x:v>
      </x:c>
      <x:c r="O52" t="n">
        <x:f>I52+Parameters!$B$5*K52</x:f>
        <x:v>-0.4978345524241836</x:v>
      </x:c>
    </x:row>
    <x:row r="53">
      <x:c r="A53" t="n">
        <x:f>49</x:f>
        <x:v>49</x:v>
      </x:c>
      <x:c r="B53" t="n">
        <x:f>INT((A53-1)/4)+1</x:f>
        <x:v>13</x:v>
      </x:c>
      <x:c r="C53" t="n">
        <x:f>MOD(A53-1,4)+1</x:f>
        <x:v>1</x:v>
      </x:c>
      <x:c r="D53" t="n">
        <x:f>INDEX(Dataset!$B$5:$B$8,C53)</x:f>
        <x:v>-1</x:v>
      </x:c>
      <x:c r="E53" t="n">
        <x:f>INDEX(Dataset!$C$5:$C$8,C53)</x:f>
        <x:v>-1</x:v>
      </x:c>
      <x:c r="F53" t="n">
        <x:f>INDEX(Dataset!$D$5:$D$8,C53)</x:f>
        <x:v>-1</x:v>
      </x:c>
      <x:c r="G53" t="n">
        <x:f>M52</x:f>
        <x:v>0.5276311121878123</x:v>
      </x:c>
      <x:c r="H53" t="n">
        <x:f>N52</x:f>
        <x:v>0.5574726820490767</x:v>
      </x:c>
      <x:c r="I53" t="n">
        <x:f>O52</x:f>
        <x:v>-0.4978345524241836</x:v>
      </x:c>
      <x:c r="J53" t="n">
        <x:f>G53*D53+H53*E53+I53</x:f>
        <x:v>-1.5829383466610727</x:v>
      </x:c>
      <x:c r="K53" t="n">
        <x:f>F53-J53</x:f>
        <x:v>0.5829383466610727</x:v>
      </x:c>
      <x:c r="L53" t="n">
        <x:f>K53^2</x:f>
        <x:v>0.33981711600794495</x:v>
      </x:c>
      <x:c r="M53" t="n">
        <x:f>G53+Parameters!$B$5*K53*D53</x:f>
        <x:v>0.46933727752170507</x:v>
      </x:c>
      <x:c r="N53" t="n">
        <x:f>H53+Parameters!$B$5*K53*E53</x:f>
        <x:v>0.49917884738296947</x:v>
      </x:c>
      <x:c r="O53" t="n">
        <x:f>I53+Parameters!$B$5*K53</x:f>
        <x:v>-0.43954071775807635</x:v>
      </x:c>
    </x:row>
    <x:row r="54">
      <x:c r="A54" t="n">
        <x:f>50</x:f>
        <x:v>50</x:v>
      </x:c>
      <x:c r="B54" t="n">
        <x:f>INT((A54-1)/4)+1</x:f>
        <x:v>13</x:v>
      </x:c>
      <x:c r="C54" t="n">
        <x:f>MOD(A54-1,4)+1</x:f>
        <x:v>2</x:v>
      </x:c>
      <x:c r="D54" t="n">
        <x:f>INDEX(Dataset!$B$5:$B$8,C54)</x:f>
        <x:v>-1</x:v>
      </x:c>
      <x:c r="E54" t="n">
        <x:f>INDEX(Dataset!$C$5:$C$8,C54)</x:f>
        <x:v>1</x:v>
      </x:c>
      <x:c r="F54" t="n">
        <x:f>INDEX(Dataset!$D$5:$D$8,C54)</x:f>
        <x:v>-1</x:v>
      </x:c>
      <x:c r="G54" t="n">
        <x:f>M53</x:f>
        <x:v>0.46933727752170507</x:v>
      </x:c>
      <x:c r="H54" t="n">
        <x:f>N53</x:f>
        <x:v>0.49917884738296947</x:v>
      </x:c>
      <x:c r="I54" t="n">
        <x:f>O53</x:f>
        <x:v>-0.43954071775807635</x:v>
      </x:c>
      <x:c r="J54" t="n">
        <x:f>G54*D54+H54*E54+I54</x:f>
        <x:v>-0.40969914789681194</x:v>
      </x:c>
      <x:c r="K54" t="n">
        <x:f>F54-J54</x:f>
        <x:v>-0.5903008521031881</x:v>
      </x:c>
      <x:c r="L54" t="n">
        <x:f>K54^2</x:f>
        <x:v>0.3484550959937499</x:v>
      </x:c>
      <x:c r="M54" t="n">
        <x:f>G54+Parameters!$B$5*K54*D54</x:f>
        <x:v>0.5283673627320239</x:v>
      </x:c>
      <x:c r="N54" t="n">
        <x:f>H54+Parameters!$B$5*K54*E54</x:f>
        <x:v>0.44014876217265064</x:v>
      </x:c>
      <x:c r="O54" t="n">
        <x:f>I54+Parameters!$B$5*K54</x:f>
        <x:v>-0.4985708029683952</x:v>
      </x:c>
    </x:row>
    <x:row r="55">
      <x:c r="A55" t="n">
        <x:f>51</x:f>
        <x:v>51</x:v>
      </x:c>
      <x:c r="B55" t="n">
        <x:f>INT((A55-1)/4)+1</x:f>
        <x:v>13</x:v>
      </x:c>
      <x:c r="C55" t="n">
        <x:f>MOD(A55-1,4)+1</x:f>
        <x:v>3</x:v>
      </x:c>
      <x:c r="D55" t="n">
        <x:f>INDEX(Dataset!$B$5:$B$8,C55)</x:f>
        <x:v>1</x:v>
      </x:c>
      <x:c r="E55" t="n">
        <x:f>INDEX(Dataset!$C$5:$C$8,C55)</x:f>
        <x:v>-1</x:v>
      </x:c>
      <x:c r="F55" t="n">
        <x:f>INDEX(Dataset!$D$5:$D$8,C55)</x:f>
        <x:v>-1</x:v>
      </x:c>
      <x:c r="G55" t="n">
        <x:f>M54</x:f>
        <x:v>0.5283673627320239</x:v>
      </x:c>
      <x:c r="H55" t="n">
        <x:f>N54</x:f>
        <x:v>0.44014876217265064</x:v>
      </x:c>
      <x:c r="I55" t="n">
        <x:f>O54</x:f>
        <x:v>-0.4985708029683952</x:v>
      </x:c>
      <x:c r="J55" t="n">
        <x:f>G55*D55+H55*E55+I55</x:f>
        <x:v>-0.4103522024090219</x:v>
      </x:c>
      <x:c r="K55" t="n">
        <x:f>F55-J55</x:f>
        <x:v>-0.5896477975909781</x:v>
      </x:c>
      <x:c r="L55" t="n">
        <x:f>K55^2</x:f>
        <x:v>0.34768452520389104</x:v>
      </x:c>
      <x:c r="M55" t="n">
        <x:f>G55+Parameters!$B$5*K55*D55</x:f>
        <x:v>0.4694025829729261</x:v>
      </x:c>
      <x:c r="N55" t="n">
        <x:f>H55+Parameters!$B$5*K55*E55</x:f>
        <x:v>0.49911354193174845</x:v>
      </x:c>
      <x:c r="O55" t="n">
        <x:f>I55+Parameters!$B$5*K55</x:f>
        <x:v>-0.557535582727493</x:v>
      </x:c>
    </x:row>
    <x:row r="56">
      <x:c r="A56" t="n">
        <x:f>52</x:f>
        <x:v>52</x:v>
      </x:c>
      <x:c r="B56" t="n">
        <x:f>INT((A56-1)/4)+1</x:f>
        <x:v>13</x:v>
      </x:c>
      <x:c r="C56" t="n">
        <x:f>MOD(A56-1,4)+1</x:f>
        <x:v>4</x:v>
      </x:c>
      <x:c r="D56" t="n">
        <x:f>INDEX(Dataset!$B$5:$B$8,C56)</x:f>
        <x:v>1</x:v>
      </x:c>
      <x:c r="E56" t="n">
        <x:f>INDEX(Dataset!$C$5:$C$8,C56)</x:f>
        <x:v>1</x:v>
      </x:c>
      <x:c r="F56" t="n">
        <x:f>INDEX(Dataset!$D$5:$D$8,C56)</x:f>
        <x:v>1</x:v>
      </x:c>
      <x:c r="G56" t="n">
        <x:f>M55</x:f>
        <x:v>0.4694025829729261</x:v>
      </x:c>
      <x:c r="H56" t="n">
        <x:f>N55</x:f>
        <x:v>0.49911354193174845</x:v>
      </x:c>
      <x:c r="I56" t="n">
        <x:f>O55</x:f>
        <x:v>-0.557535582727493</x:v>
      </x:c>
      <x:c r="J56" t="n">
        <x:f>G56*D56+H56*E56+I56</x:f>
        <x:v>0.4109805421771815</x:v>
      </x:c>
      <x:c r="K56" t="n">
        <x:f>F56-J56</x:f>
        <x:v>0.5890194578228185</x:v>
      </x:c>
      <x:c r="L56" t="n">
        <x:f>K56^2</x:f>
        <x:v>0.34694392169388705</x:v>
      </x:c>
      <x:c r="M56" t="n">
        <x:f>G56+Parameters!$B$5*K56*D56</x:f>
        <x:v>0.528304528755208</x:v>
      </x:c>
      <x:c r="N56" t="n">
        <x:f>H56+Parameters!$B$5*K56*E56</x:f>
        <x:v>0.5580154877140303</x:v>
      </x:c>
      <x:c r="O56" t="n">
        <x:f>I56+Parameters!$B$5*K56</x:f>
        <x:v>-0.4986336369452112</x:v>
      </x:c>
    </x:row>
    <x:row r="57">
      <x:c r="A57" t="n">
        <x:f>53</x:f>
        <x:v>53</x:v>
      </x:c>
      <x:c r="B57" t="n">
        <x:f>INT((A57-1)/4)+1</x:f>
        <x:v>14</x:v>
      </x:c>
      <x:c r="C57" t="n">
        <x:f>MOD(A57-1,4)+1</x:f>
        <x:v>1</x:v>
      </x:c>
      <x:c r="D57" t="n">
        <x:f>INDEX(Dataset!$B$5:$B$8,C57)</x:f>
        <x:v>-1</x:v>
      </x:c>
      <x:c r="E57" t="n">
        <x:f>INDEX(Dataset!$C$5:$C$8,C57)</x:f>
        <x:v>-1</x:v>
      </x:c>
      <x:c r="F57" t="n">
        <x:f>INDEX(Dataset!$D$5:$D$8,C57)</x:f>
        <x:v>-1</x:v>
      </x:c>
      <x:c r="G57" t="n">
        <x:f>M56</x:f>
        <x:v>0.528304528755208</x:v>
      </x:c>
      <x:c r="H57" t="n">
        <x:f>N56</x:f>
        <x:v>0.5580154877140303</x:v>
      </x:c>
      <x:c r="I57" t="n">
        <x:f>O56</x:f>
        <x:v>-0.4986336369452112</x:v>
      </x:c>
      <x:c r="J57" t="n">
        <x:f>G57*D57+H57*E57+I57</x:f>
        <x:v>-1.5849536534144493</x:v>
      </x:c>
      <x:c r="K57" t="n">
        <x:f>F57-J57</x:f>
        <x:v>0.5849536534144493</x:v>
      </x:c>
      <x:c r="L57" t="n">
        <x:f>K57^2</x:f>
        <x:v>0.3421707766429116</x:v>
      </x:c>
      <x:c r="M57" t="n">
        <x:f>G57+Parameters!$B$5*K57*D57</x:f>
        <x:v>0.469809163413763</x:v>
      </x:c>
      <x:c r="N57" t="n">
        <x:f>H57+Parameters!$B$5*K57*E57</x:f>
        <x:v>0.49952012237258536</x:v>
      </x:c>
      <x:c r="O57" t="n">
        <x:f>I57+Parameters!$B$5*K57</x:f>
        <x:v>-0.44013827160376623</x:v>
      </x:c>
    </x:row>
    <x:row r="58">
      <x:c r="A58" t="n">
        <x:f>54</x:f>
        <x:v>54</x:v>
      </x:c>
      <x:c r="B58" t="n">
        <x:f>INT((A58-1)/4)+1</x:f>
        <x:v>14</x:v>
      </x:c>
      <x:c r="C58" t="n">
        <x:f>MOD(A58-1,4)+1</x:f>
        <x:v>2</x:v>
      </x:c>
      <x:c r="D58" t="n">
        <x:f>INDEX(Dataset!$B$5:$B$8,C58)</x:f>
        <x:v>-1</x:v>
      </x:c>
      <x:c r="E58" t="n">
        <x:f>INDEX(Dataset!$C$5:$C$8,C58)</x:f>
        <x:v>1</x:v>
      </x:c>
      <x:c r="F58" t="n">
        <x:f>INDEX(Dataset!$D$5:$D$8,C58)</x:f>
        <x:v>-1</x:v>
      </x:c>
      <x:c r="G58" t="n">
        <x:f>M57</x:f>
        <x:v>0.469809163413763</x:v>
      </x:c>
      <x:c r="H58" t="n">
        <x:f>N57</x:f>
        <x:v>0.49952012237258536</x:v>
      </x:c>
      <x:c r="I58" t="n">
        <x:f>O57</x:f>
        <x:v>-0.44013827160376623</x:v>
      </x:c>
      <x:c r="J58" t="n">
        <x:f>G58*D58+H58*E58+I58</x:f>
        <x:v>-0.41042731264494386</x:v>
      </x:c>
      <x:c r="K58" t="n">
        <x:f>F58-J58</x:f>
        <x:v>-0.5895726873550562</x:v>
      </x:c>
      <x:c r="L58" t="n">
        <x:f>K58^2</x:f>
        <x:v>0.34759595367506285</x:v>
      </x:c>
      <x:c r="M58" t="n">
        <x:f>G58+Parameters!$B$5*K58*D58</x:f>
        <x:v>0.5287664321492687</x:v>
      </x:c>
      <x:c r="N58" t="n">
        <x:f>H58+Parameters!$B$5*K58*E58</x:f>
        <x:v>0.44056285363707975</x:v>
      </x:c>
      <x:c r="O58" t="n">
        <x:f>I58+Parameters!$B$5*K58</x:f>
        <x:v>-0.49909554033927184</x:v>
      </x:c>
    </x:row>
    <x:row r="59">
      <x:c r="A59" t="n">
        <x:f>55</x:f>
        <x:v>55</x:v>
      </x:c>
      <x:c r="B59" t="n">
        <x:f>INT((A59-1)/4)+1</x:f>
        <x:v>14</x:v>
      </x:c>
      <x:c r="C59" t="n">
        <x:f>MOD(A59-1,4)+1</x:f>
        <x:v>3</x:v>
      </x:c>
      <x:c r="D59" t="n">
        <x:f>INDEX(Dataset!$B$5:$B$8,C59)</x:f>
        <x:v>1</x:v>
      </x:c>
      <x:c r="E59" t="n">
        <x:f>INDEX(Dataset!$C$5:$C$8,C59)</x:f>
        <x:v>-1</x:v>
      </x:c>
      <x:c r="F59" t="n">
        <x:f>INDEX(Dataset!$D$5:$D$8,C59)</x:f>
        <x:v>-1</x:v>
      </x:c>
      <x:c r="G59" t="n">
        <x:f>M58</x:f>
        <x:v>0.5287664321492687</x:v>
      </x:c>
      <x:c r="H59" t="n">
        <x:f>N58</x:f>
        <x:v>0.44056285363707975</x:v>
      </x:c>
      <x:c r="I59" t="n">
        <x:f>O58</x:f>
        <x:v>-0.49909554033927184</x:v>
      </x:c>
      <x:c r="J59" t="n">
        <x:f>G59*D59+H59*E59+I59</x:f>
        <x:v>-0.41089196182708293</x:v>
      </x:c>
      <x:c r="K59" t="n">
        <x:f>F59-J59</x:f>
        <x:v>-0.589108038172917</x:v>
      </x:c>
      <x:c r="L59" t="n">
        <x:f>K59^2</x:f>
        <x:v>0.34704828063994303</x:v>
      </x:c>
      <x:c r="M59" t="n">
        <x:f>G59+Parameters!$B$5*K59*D59</x:f>
        <x:v>0.46985562833197697</x:v>
      </x:c>
      <x:c r="N59" t="n">
        <x:f>H59+Parameters!$B$5*K59*E59</x:f>
        <x:v>0.49947365745437144</x:v>
      </x:c>
      <x:c r="O59" t="n">
        <x:f>I59+Parameters!$B$5*K59</x:f>
        <x:v>-0.5580063441565636</x:v>
      </x:c>
    </x:row>
    <x:row r="60">
      <x:c r="A60" t="n">
        <x:f>56</x:f>
        <x:v>56</x:v>
      </x:c>
      <x:c r="B60" t="n">
        <x:f>INT((A60-1)/4)+1</x:f>
        <x:v>14</x:v>
      </x:c>
      <x:c r="C60" t="n">
        <x:f>MOD(A60-1,4)+1</x:f>
        <x:v>4</x:v>
      </x:c>
      <x:c r="D60" t="n">
        <x:f>INDEX(Dataset!$B$5:$B$8,C60)</x:f>
        <x:v>1</x:v>
      </x:c>
      <x:c r="E60" t="n">
        <x:f>INDEX(Dataset!$C$5:$C$8,C60)</x:f>
        <x:v>1</x:v>
      </x:c>
      <x:c r="F60" t="n">
        <x:f>INDEX(Dataset!$D$5:$D$8,C60)</x:f>
        <x:v>1</x:v>
      </x:c>
      <x:c r="G60" t="n">
        <x:f>M59</x:f>
        <x:v>0.46985562833197697</x:v>
      </x:c>
      <x:c r="H60" t="n">
        <x:f>N59</x:f>
        <x:v>0.49947365745437144</x:v>
      </x:c>
      <x:c r="I60" t="n">
        <x:f>O59</x:f>
        <x:v>-0.5580063441565636</x:v>
      </x:c>
      <x:c r="J60" t="n">
        <x:f>G60*D60+H60*E60+I60</x:f>
        <x:v>0.4113229416297849</x:v>
      </x:c>
      <x:c r="K60" t="n">
        <x:f>F60-J60</x:f>
        <x:v>0.5886770583702151</x:v>
      </x:c>
      <x:c r="L60" t="n">
        <x:f>K60^2</x:f>
        <x:v>0.3465406790514097</x:v>
      </x:c>
      <x:c r="M60" t="n">
        <x:f>G60+Parameters!$B$5*K60*D60</x:f>
        <x:v>0.5287233341689985</x:v>
      </x:c>
      <x:c r="N60" t="n">
        <x:f>H60+Parameters!$B$5*K60*E60</x:f>
        <x:v>0.558341363291393</x:v>
      </x:c>
      <x:c r="O60" t="n">
        <x:f>I60+Parameters!$B$5*K60</x:f>
        <x:v>-0.4991386383195421</x:v>
      </x:c>
    </x:row>
    <x:row r="61">
      <x:c r="A61" t="n">
        <x:f>57</x:f>
        <x:v>57</x:v>
      </x:c>
      <x:c r="B61" t="n">
        <x:f>INT((A61-1)/4)+1</x:f>
        <x:v>15</x:v>
      </x:c>
      <x:c r="C61" t="n">
        <x:f>MOD(A61-1,4)+1</x:f>
        <x:v>1</x:v>
      </x:c>
      <x:c r="D61" t="n">
        <x:f>INDEX(Dataset!$B$5:$B$8,C61)</x:f>
        <x:v>-1</x:v>
      </x:c>
      <x:c r="E61" t="n">
        <x:f>INDEX(Dataset!$C$5:$C$8,C61)</x:f>
        <x:v>-1</x:v>
      </x:c>
      <x:c r="F61" t="n">
        <x:f>INDEX(Dataset!$D$5:$D$8,C61)</x:f>
        <x:v>-1</x:v>
      </x:c>
      <x:c r="G61" t="n">
        <x:f>M60</x:f>
        <x:v>0.5287233341689985</x:v>
      </x:c>
      <x:c r="H61" t="n">
        <x:f>N60</x:f>
        <x:v>0.558341363291393</x:v>
      </x:c>
      <x:c r="I61" t="n">
        <x:f>O60</x:f>
        <x:v>-0.4991386383195421</x:v>
      </x:c>
      <x:c r="J61" t="n">
        <x:f>G61*D61+H61*E61+I61</x:f>
        <x:v>-1.5862033357799334</x:v>
      </x:c>
      <x:c r="K61" t="n">
        <x:f>F61-J61</x:f>
        <x:v>0.5862033357799334</x:v>
      </x:c>
      <x:c r="L61" t="n">
        <x:f>K61^2</x:f>
        <x:v>0.3436343508795214</x:v>
      </x:c>
      <x:c r="M61" t="n">
        <x:f>G61+Parameters!$B$5*K61*D61</x:f>
        <x:v>0.4701030005910052</x:v>
      </x:c>
      <x:c r="N61" t="n">
        <x:f>H61+Parameters!$B$5*K61*E61</x:f>
        <x:v>0.4997210297133996</x:v>
      </x:c>
      <x:c r="O61" t="n">
        <x:f>I61+Parameters!$B$5*K61</x:f>
        <x:v>-0.44051830474154874</x:v>
      </x:c>
    </x:row>
    <x:row r="62">
      <x:c r="A62" t="n">
        <x:f>58</x:f>
        <x:v>58</x:v>
      </x:c>
      <x:c r="B62" t="n">
        <x:f>INT((A62-1)/4)+1</x:f>
        <x:v>15</x:v>
      </x:c>
      <x:c r="C62" t="n">
        <x:f>MOD(A62-1,4)+1</x:f>
        <x:v>2</x:v>
      </x:c>
      <x:c r="D62" t="n">
        <x:f>INDEX(Dataset!$B$5:$B$8,C62)</x:f>
        <x:v>-1</x:v>
      </x:c>
      <x:c r="E62" t="n">
        <x:f>INDEX(Dataset!$C$5:$C$8,C62)</x:f>
        <x:v>1</x:v>
      </x:c>
      <x:c r="F62" t="n">
        <x:f>INDEX(Dataset!$D$5:$D$8,C62)</x:f>
        <x:v>-1</x:v>
      </x:c>
      <x:c r="G62" t="n">
        <x:f>M61</x:f>
        <x:v>0.4701030005910052</x:v>
      </x:c>
      <x:c r="H62" t="n">
        <x:f>N61</x:f>
        <x:v>0.4997210297133996</x:v>
      </x:c>
      <x:c r="I62" t="n">
        <x:f>O61</x:f>
        <x:v>-0.44051830474154874</x:v>
      </x:c>
      <x:c r="J62" t="n">
        <x:f>G62*D62+H62*E62+I62</x:f>
        <x:v>-0.4109002756191543</x:v>
      </x:c>
      <x:c r="K62" t="n">
        <x:f>F62-J62</x:f>
        <x:v>-0.5890997243808457</x:v>
      </x:c>
      <x:c r="L62" t="n">
        <x:f>K62^2</x:f>
        <x:v>0.34703848526558834</x:v>
      </x:c>
      <x:c r="M62" t="n">
        <x:f>G62+Parameters!$B$5*K62*D62</x:f>
        <x:v>0.5290129730290898</x:v>
      </x:c>
      <x:c r="N62" t="n">
        <x:f>H62+Parameters!$B$5*K62*E62</x:f>
        <x:v>0.440811057275315</x:v>
      </x:c>
      <x:c r="O62" t="n">
        <x:f>I62+Parameters!$B$5*K62</x:f>
        <x:v>-0.49942827717963334</x:v>
      </x:c>
    </x:row>
    <x:row r="63">
      <x:c r="A63" t="n">
        <x:f>59</x:f>
        <x:v>59</x:v>
      </x:c>
      <x:c r="B63" t="n">
        <x:f>INT((A63-1)/4)+1</x:f>
        <x:v>15</x:v>
      </x:c>
      <x:c r="C63" t="n">
        <x:f>MOD(A63-1,4)+1</x:f>
        <x:v>3</x:v>
      </x:c>
      <x:c r="D63" t="n">
        <x:f>INDEX(Dataset!$B$5:$B$8,C63)</x:f>
        <x:v>1</x:v>
      </x:c>
      <x:c r="E63" t="n">
        <x:f>INDEX(Dataset!$C$5:$C$8,C63)</x:f>
        <x:v>-1</x:v>
      </x:c>
      <x:c r="F63" t="n">
        <x:f>INDEX(Dataset!$D$5:$D$8,C63)</x:f>
        <x:v>-1</x:v>
      </x:c>
      <x:c r="G63" t="n">
        <x:f>M62</x:f>
        <x:v>0.5290129730290898</x:v>
      </x:c>
      <x:c r="H63" t="n">
        <x:f>N62</x:f>
        <x:v>0.440811057275315</x:v>
      </x:c>
      <x:c r="I63" t="n">
        <x:f>O62</x:f>
        <x:v>-0.49942827717963334</x:v>
      </x:c>
      <x:c r="J63" t="n">
        <x:f>G63*D63+H63*E63+I63</x:f>
        <x:v>-0.41122636142585856</x:v>
      </x:c>
      <x:c r="K63" t="n">
        <x:f>F63-J63</x:f>
        <x:v>-0.5887736385741414</x:v>
      </x:c>
      <x:c r="L63" t="n">
        <x:f>K63^2</x:f>
        <x:v>0.34665439747983373</x:v>
      </x:c>
      <x:c r="M63" t="n">
        <x:f>G63+Parameters!$B$5*K63*D63</x:f>
        <x:v>0.47013560917167563</x:v>
      </x:c>
      <x:c r="N63" t="n">
        <x:f>H63+Parameters!$B$5*K63*E63</x:f>
        <x:v>0.49968842113272915</x:v>
      </x:c>
      <x:c r="O63" t="n">
        <x:f>I63+Parameters!$B$5*K63</x:f>
        <x:v>-0.5583056410370475</x:v>
      </x:c>
    </x:row>
    <x:row r="64">
      <x:c r="A64" t="n">
        <x:f>60</x:f>
        <x:v>60</x:v>
      </x:c>
      <x:c r="B64" t="n">
        <x:f>INT((A64-1)/4)+1</x:f>
        <x:v>15</x:v>
      </x:c>
      <x:c r="C64" t="n">
        <x:f>MOD(A64-1,4)+1</x:f>
        <x:v>4</x:v>
      </x:c>
      <x:c r="D64" t="n">
        <x:f>INDEX(Dataset!$B$5:$B$8,C64)</x:f>
        <x:v>1</x:v>
      </x:c>
      <x:c r="E64" t="n">
        <x:f>INDEX(Dataset!$C$5:$C$8,C64)</x:f>
        <x:v>1</x:v>
      </x:c>
      <x:c r="F64" t="n">
        <x:f>INDEX(Dataset!$D$5:$D$8,C64)</x:f>
        <x:v>1</x:v>
      </x:c>
      <x:c r="G64" t="n">
        <x:f>M63</x:f>
        <x:v>0.47013560917167563</x:v>
      </x:c>
      <x:c r="H64" t="n">
        <x:f>N63</x:f>
        <x:v>0.49968842113272915</x:v>
      </x:c>
      <x:c r="I64" t="n">
        <x:f>O63</x:f>
        <x:v>-0.5583056410370475</x:v>
      </x:c>
      <x:c r="J64" t="n">
        <x:f>G64*D64+H64*E64+I64</x:f>
        <x:v>0.4115183892673573</x:v>
      </x:c>
      <x:c r="K64" t="n">
        <x:f>F64-J64</x:f>
        <x:v>0.5884816107326427</x:v>
      </x:c>
      <x:c r="L64" t="n">
        <x:f>K64^2</x:f>
        <x:v>0.34631060617048565</x:v>
      </x:c>
      <x:c r="M64" t="n">
        <x:f>G64+Parameters!$B$5*K64*D64</x:f>
        <x:v>0.5289837702449399</x:v>
      </x:c>
      <x:c r="N64" t="n">
        <x:f>H64+Parameters!$B$5*K64*E64</x:f>
        <x:v>0.5585365822059934</x:v>
      </x:c>
      <x:c r="O64" t="n">
        <x:f>I64+Parameters!$B$5*K64</x:f>
        <x:v>-0.4994574799637832</x:v>
      </x:c>
    </x:row>
    <x:row r="65">
      <x:c r="A65" t="n">
        <x:f>61</x:f>
        <x:v>61</x:v>
      </x:c>
      <x:c r="B65" t="n">
        <x:f>INT((A65-1)/4)+1</x:f>
        <x:v>16</x:v>
      </x:c>
      <x:c r="C65" t="n">
        <x:f>MOD(A65-1,4)+1</x:f>
        <x:v>1</x:v>
      </x:c>
      <x:c r="D65" t="n">
        <x:f>INDEX(Dataset!$B$5:$B$8,C65)</x:f>
        <x:v>-1</x:v>
      </x:c>
      <x:c r="E65" t="n">
        <x:f>INDEX(Dataset!$C$5:$C$8,C65)</x:f>
        <x:v>-1</x:v>
      </x:c>
      <x:c r="F65" t="n">
        <x:f>INDEX(Dataset!$D$5:$D$8,C65)</x:f>
        <x:v>-1</x:v>
      </x:c>
      <x:c r="G65" t="n">
        <x:f>M64</x:f>
        <x:v>0.5289837702449399</x:v>
      </x:c>
      <x:c r="H65" t="n">
        <x:f>N64</x:f>
        <x:v>0.5585365822059934</x:v>
      </x:c>
      <x:c r="I65" t="n">
        <x:f>O64</x:f>
        <x:v>-0.4994574799637832</x:v>
      </x:c>
      <x:c r="J65" t="n">
        <x:f>G65*D65+H65*E65+I65</x:f>
        <x:v>-1.5869778324147166</x:v>
      </x:c>
      <x:c r="K65" t="n">
        <x:f>F65-J65</x:f>
        <x:v>0.5869778324147166</x:v>
      </x:c>
      <x:c r="L65" t="n">
        <x:f>K65^2</x:f>
        <x:v>0.34454297574627907</x:v>
      </x:c>
      <x:c r="M65" t="n">
        <x:f>G65+Parameters!$B$5*K65*D65</x:f>
        <x:v>0.47028598700346824</x:v>
      </x:c>
      <x:c r="N65" t="n">
        <x:f>H65+Parameters!$B$5*K65*E65</x:f>
        <x:v>0.49983879896452177</x:v>
      </x:c>
      <x:c r="O65" t="n">
        <x:f>I65+Parameters!$B$5*K65</x:f>
        <x:v>-0.4407596967223115</x:v>
      </x:c>
    </x:row>
    <x:row r="66">
      <x:c r="A66" t="n">
        <x:f>62</x:f>
        <x:v>62</x:v>
      </x:c>
      <x:c r="B66" t="n">
        <x:f>INT((A66-1)/4)+1</x:f>
        <x:v>16</x:v>
      </x:c>
      <x:c r="C66" t="n">
        <x:f>MOD(A66-1,4)+1</x:f>
        <x:v>2</x:v>
      </x:c>
      <x:c r="D66" t="n">
        <x:f>INDEX(Dataset!$B$5:$B$8,C66)</x:f>
        <x:v>-1</x:v>
      </x:c>
      <x:c r="E66" t="n">
        <x:f>INDEX(Dataset!$C$5:$C$8,C66)</x:f>
        <x:v>1</x:v>
      </x:c>
      <x:c r="F66" t="n">
        <x:f>INDEX(Dataset!$D$5:$D$8,C66)</x:f>
        <x:v>-1</x:v>
      </x:c>
      <x:c r="G66" t="n">
        <x:f>M65</x:f>
        <x:v>0.47028598700346824</x:v>
      </x:c>
      <x:c r="H66" t="n">
        <x:f>N65</x:f>
        <x:v>0.49983879896452177</x:v>
      </x:c>
      <x:c r="I66" t="n">
        <x:f>O65</x:f>
        <x:v>-0.4407596967223115</x:v>
      </x:c>
      <x:c r="J66" t="n">
        <x:f>G66*D66+H66*E66+I66</x:f>
        <x:v>-0.411206884761258</x:v>
      </x:c>
      <x:c r="K66" t="n">
        <x:f>F66-J66</x:f>
        <x:v>-0.588793115238742</x:v>
      </x:c>
      <x:c r="L66" t="n">
        <x:f>K66^2</x:f>
        <x:v>0.3466773325525425</x:v>
      </x:c>
      <x:c r="M66" t="n">
        <x:f>G66+Parameters!$B$5*K66*D66</x:f>
        <x:v>0.5291652985273424</x:v>
      </x:c>
      <x:c r="N66" t="n">
        <x:f>H66+Parameters!$B$5*K66*E66</x:f>
        <x:v>0.44095948744064756</x:v>
      </x:c>
      <x:c r="O66" t="n">
        <x:f>I66+Parameters!$B$5*K66</x:f>
        <x:v>-0.49963900824618573</x:v>
      </x:c>
    </x:row>
    <x:row r="67">
      <x:c r="A67" t="n">
        <x:f>63</x:f>
        <x:v>63</x:v>
      </x:c>
      <x:c r="B67" t="n">
        <x:f>INT((A67-1)/4)+1</x:f>
        <x:v>16</x:v>
      </x:c>
      <x:c r="C67" t="n">
        <x:f>MOD(A67-1,4)+1</x:f>
        <x:v>3</x:v>
      </x:c>
      <x:c r="D67" t="n">
        <x:f>INDEX(Dataset!$B$5:$B$8,C67)</x:f>
        <x:v>1</x:v>
      </x:c>
      <x:c r="E67" t="n">
        <x:f>INDEX(Dataset!$C$5:$C$8,C67)</x:f>
        <x:v>-1</x:v>
      </x:c>
      <x:c r="F67" t="n">
        <x:f>INDEX(Dataset!$D$5:$D$8,C67)</x:f>
        <x:v>-1</x:v>
      </x:c>
      <x:c r="G67" t="n">
        <x:f>M66</x:f>
        <x:v>0.5291652985273424</x:v>
      </x:c>
      <x:c r="H67" t="n">
        <x:f>N66</x:f>
        <x:v>0.44095948744064756</x:v>
      </x:c>
      <x:c r="I67" t="n">
        <x:f>O66</x:f>
        <x:v>-0.49963900824618573</x:v>
      </x:c>
      <x:c r="J67" t="n">
        <x:f>G67*D67+H67*E67+I67</x:f>
        <x:v>-0.4114331971594909</x:v>
      </x:c>
      <x:c r="K67" t="n">
        <x:f>F67-J67</x:f>
        <x:v>-0.5885668028405091</x:v>
      </x:c>
      <x:c r="L67" t="n">
        <x:f>K67^2</x:f>
        <x:v>0.3464108814058987</x:v>
      </x:c>
      <x:c r="M67" t="n">
        <x:f>G67+Parameters!$B$5*K67*D67</x:f>
        <x:v>0.4703086182432915</x:v>
      </x:c>
      <x:c r="N67" t="n">
        <x:f>H67+Parameters!$B$5*K67*E67</x:f>
        <x:v>0.4998161677246985</x:v>
      </x:c>
      <x:c r="O67" t="n">
        <x:f>I67+Parameters!$B$5*K67</x:f>
        <x:v>-0.5584956885302367</x:v>
      </x:c>
    </x:row>
    <x:row r="68">
      <x:c r="A68" t="n">
        <x:f>64</x:f>
        <x:v>64</x:v>
      </x:c>
      <x:c r="B68" t="n">
        <x:f>INT((A68-1)/4)+1</x:f>
        <x:v>16</x:v>
      </x:c>
      <x:c r="C68" t="n">
        <x:f>MOD(A68-1,4)+1</x:f>
        <x:v>4</x:v>
      </x:c>
      <x:c r="D68" t="n">
        <x:f>INDEX(Dataset!$B$5:$B$8,C68)</x:f>
        <x:v>1</x:v>
      </x:c>
      <x:c r="E68" t="n">
        <x:f>INDEX(Dataset!$C$5:$C$8,C68)</x:f>
        <x:v>1</x:v>
      </x:c>
      <x:c r="F68" t="n">
        <x:f>INDEX(Dataset!$D$5:$D$8,C68)</x:f>
        <x:v>1</x:v>
      </x:c>
      <x:c r="G68" t="n">
        <x:f>M67</x:f>
        <x:v>0.4703086182432915</x:v>
      </x:c>
      <x:c r="H68" t="n">
        <x:f>N67</x:f>
        <x:v>0.4998161677246985</x:v>
      </x:c>
      <x:c r="I68" t="n">
        <x:f>O67</x:f>
        <x:v>-0.5584956885302367</x:v>
      </x:c>
      <x:c r="J68" t="n">
        <x:f>G68*D68+H68*E68+I68</x:f>
        <x:v>0.41162909743775333</x:v>
      </x:c>
      <x:c r="K68" t="n">
        <x:f>F68-J68</x:f>
        <x:v>0.5883709025622467</x:v>
      </x:c>
      <x:c r="L68" t="n">
        <x:f>K68^2</x:f>
        <x:v>0.34618031898191276</x:v>
      </x:c>
      <x:c r="M68" t="n">
        <x:f>G68+Parameters!$B$5*K68*D68</x:f>
        <x:v>0.5291457084995161</x:v>
      </x:c>
      <x:c r="N68" t="n">
        <x:f>H68+Parameters!$B$5*K68*E68</x:f>
        <x:v>0.5586532579809231</x:v>
      </x:c>
      <x:c r="O68" t="n">
        <x:f>I68+Parameters!$B$5*K68</x:f>
        <x:v>-0.499658598274012</x:v>
      </x:c>
    </x:row>
    <x:row r="69">
      <x:c r="A69" t="n">
        <x:f>65</x:f>
        <x:v>65</x:v>
      </x:c>
      <x:c r="B69" t="n">
        <x:f>INT((A69-1)/4)+1</x:f>
        <x:v>17</x:v>
      </x:c>
      <x:c r="C69" t="n">
        <x:f>MOD(A69-1,4)+1</x:f>
        <x:v>1</x:v>
      </x:c>
      <x:c r="D69" t="n">
        <x:f>INDEX(Dataset!$B$5:$B$8,C69)</x:f>
        <x:v>-1</x:v>
      </x:c>
      <x:c r="E69" t="n">
        <x:f>INDEX(Dataset!$C$5:$C$8,C69)</x:f>
        <x:v>-1</x:v>
      </x:c>
      <x:c r="F69" t="n">
        <x:f>INDEX(Dataset!$D$5:$D$8,C69)</x:f>
        <x:v>-1</x:v>
      </x:c>
      <x:c r="G69" t="n">
        <x:f>M68</x:f>
        <x:v>0.5291457084995161</x:v>
      </x:c>
      <x:c r="H69" t="n">
        <x:f>N68</x:f>
        <x:v>0.5586532579809231</x:v>
      </x:c>
      <x:c r="I69" t="n">
        <x:f>O68</x:f>
        <x:v>-0.499658598274012</x:v>
      </x:c>
      <x:c r="J69" t="n">
        <x:f>G69*D69+H69*E69+I69</x:f>
        <x:v>-1.5874575647544513</x:v>
      </x:c>
      <x:c r="K69" t="n">
        <x:f>F69-J69</x:f>
        <x:v>0.5874575647544513</x:v>
      </x:c>
      <x:c r="L69" t="n">
        <x:f>K69^2</x:f>
        <x:v>0.34510639038723034</x:v>
      </x:c>
      <x:c r="M69" t="n">
        <x:f>G69+Parameters!$B$5*K69*D69</x:f>
        <x:v>0.47039995202407103</x:v>
      </x:c>
      <x:c r="N69" t="n">
        <x:f>H69+Parameters!$B$5*K69*E69</x:f>
        <x:v>0.499907501505478</x:v>
      </x:c>
      <x:c r="O69" t="n">
        <x:f>I69+Parameters!$B$5*K69</x:f>
        <x:v>-0.4409128417985668</x:v>
      </x:c>
    </x:row>
    <x:row r="70">
      <x:c r="A70" t="n">
        <x:f>66</x:f>
        <x:v>66</x:v>
      </x:c>
      <x:c r="B70" t="n">
        <x:f>INT((A70-1)/4)+1</x:f>
        <x:v>17</x:v>
      </x:c>
      <x:c r="C70" t="n">
        <x:f>MOD(A70-1,4)+1</x:f>
        <x:v>2</x:v>
      </x:c>
      <x:c r="D70" t="n">
        <x:f>INDEX(Dataset!$B$5:$B$8,C70)</x:f>
        <x:v>-1</x:v>
      </x:c>
      <x:c r="E70" t="n">
        <x:f>INDEX(Dataset!$C$5:$C$8,C70)</x:f>
        <x:v>1</x:v>
      </x:c>
      <x:c r="F70" t="n">
        <x:f>INDEX(Dataset!$D$5:$D$8,C70)</x:f>
        <x:v>-1</x:v>
      </x:c>
      <x:c r="G70" t="n">
        <x:f>M69</x:f>
        <x:v>0.47039995202407103</x:v>
      </x:c>
      <x:c r="H70" t="n">
        <x:f>N69</x:f>
        <x:v>0.499907501505478</x:v>
      </x:c>
      <x:c r="I70" t="n">
        <x:f>O69</x:f>
        <x:v>-0.4409128417985668</x:v>
      </x:c>
      <x:c r="J70" t="n">
        <x:f>G70*D70+H70*E70+I70</x:f>
        <x:v>-0.41140529231715983</x:v>
      </x:c>
      <x:c r="K70" t="n">
        <x:f>F70-J70</x:f>
        <x:v>-0.5885947076828402</x:v>
      </x:c>
      <x:c r="L70" t="n">
        <x:f>K70^2</x:f>
        <x:v>0.3464437299122481</x:v>
      </x:c>
      <x:c r="M70" t="n">
        <x:f>G70+Parameters!$B$5*K70*D70</x:f>
        <x:v>0.529259422792355</x:v>
      </x:c>
      <x:c r="N70" t="n">
        <x:f>H70+Parameters!$B$5*K70*E70</x:f>
        <x:v>0.441048030737194</x:v>
      </x:c>
      <x:c r="O70" t="n">
        <x:f>I70+Parameters!$B$5*K70</x:f>
        <x:v>-0.49977231256685084</x:v>
      </x:c>
    </x:row>
    <x:row r="71">
      <x:c r="A71" t="n">
        <x:f>67</x:f>
        <x:v>67</x:v>
      </x:c>
      <x:c r="B71" t="n">
        <x:f>INT((A71-1)/4)+1</x:f>
        <x:v>17</x:v>
      </x:c>
      <x:c r="C71" t="n">
        <x:f>MOD(A71-1,4)+1</x:f>
        <x:v>3</x:v>
      </x:c>
      <x:c r="D71" t="n">
        <x:f>INDEX(Dataset!$B$5:$B$8,C71)</x:f>
        <x:v>1</x:v>
      </x:c>
      <x:c r="E71" t="n">
        <x:f>INDEX(Dataset!$C$5:$C$8,C71)</x:f>
        <x:v>-1</x:v>
      </x:c>
      <x:c r="F71" t="n">
        <x:f>INDEX(Dataset!$D$5:$D$8,C71)</x:f>
        <x:v>-1</x:v>
      </x:c>
      <x:c r="G71" t="n">
        <x:f>M70</x:f>
        <x:v>0.529259422792355</x:v>
      </x:c>
      <x:c r="H71" t="n">
        <x:f>N70</x:f>
        <x:v>0.441048030737194</x:v>
      </x:c>
      <x:c r="I71" t="n">
        <x:f>O70</x:f>
        <x:v>-0.49977231256685084</x:v>
      </x:c>
      <x:c r="J71" t="n">
        <x:f>G71*D71+H71*E71+I71</x:f>
        <x:v>-0.4115609205116898</x:v>
      </x:c>
      <x:c r="K71" t="n">
        <x:f>F71-J71</x:f>
        <x:v>-0.5884390794883102</x:v>
      </x:c>
      <x:c r="L71" t="n">
        <x:f>K71^2</x:f>
        <x:v>0.34626055026904984</x:v>
      </x:c>
      <x:c r="M71" t="n">
        <x:f>G71+Parameters!$B$5*K71*D71</x:f>
        <x:v>0.470415514843524</x:v>
      </x:c>
      <x:c r="N71" t="n">
        <x:f>H71+Parameters!$B$5*K71*E71</x:f>
        <x:v>0.49989193868602505</x:v>
      </x:c>
      <x:c r="O71" t="n">
        <x:f>I71+Parameters!$B$5*K71</x:f>
        <x:v>-0.5586162205156818</x:v>
      </x:c>
    </x:row>
    <x:row r="72">
      <x:c r="A72" t="n">
        <x:f>68</x:f>
        <x:v>68</x:v>
      </x:c>
      <x:c r="B72" t="n">
        <x:f>INT((A72-1)/4)+1</x:f>
        <x:v>17</x:v>
      </x:c>
      <x:c r="C72" t="n">
        <x:f>MOD(A72-1,4)+1</x:f>
        <x:v>4</x:v>
      </x:c>
      <x:c r="D72" t="n">
        <x:f>INDEX(Dataset!$B$5:$B$8,C72)</x:f>
        <x:v>1</x:v>
      </x:c>
      <x:c r="E72" t="n">
        <x:f>INDEX(Dataset!$C$5:$C$8,C72)</x:f>
        <x:v>1</x:v>
      </x:c>
      <x:c r="F72" t="n">
        <x:f>INDEX(Dataset!$D$5:$D$8,C72)</x:f>
        <x:v>1</x:v>
      </x:c>
      <x:c r="G72" t="n">
        <x:f>M71</x:f>
        <x:v>0.470415514843524</x:v>
      </x:c>
      <x:c r="H72" t="n">
        <x:f>N71</x:f>
        <x:v>0.49989193868602505</x:v>
      </x:c>
      <x:c r="I72" t="n">
        <x:f>O71</x:f>
        <x:v>-0.5586162205156818</x:v>
      </x:c>
      <x:c r="J72" t="n">
        <x:f>G72*D72+H72*E72+I72</x:f>
        <x:v>0.41169123301386723</x:v>
      </x:c>
      <x:c r="K72" t="n">
        <x:f>F72-J72</x:f>
        <x:v>0.5883087669861328</x:v>
      </x:c>
      <x:c r="L72" t="n">
        <x:f>K72^2</x:f>
        <x:v>0.34610720531274386</x:v>
      </x:c>
      <x:c r="M72" t="n">
        <x:f>G72+Parameters!$B$5*K72*D72</x:f>
        <x:v>0.5292463915421373</x:v>
      </x:c>
      <x:c r="N72" t="n">
        <x:f>H72+Parameters!$B$5*K72*E72</x:f>
        <x:v>0.5587228153846383</x:v>
      </x:c>
      <x:c r="O72" t="n">
        <x:f>I72+Parameters!$B$5*K72</x:f>
        <x:v>-0.4997853438170685</x:v>
      </x:c>
    </x:row>
    <x:row r="73">
      <x:c r="A73" t="n">
        <x:f>69</x:f>
        <x:v>69</x:v>
      </x:c>
      <x:c r="B73" t="n">
        <x:f>INT((A73-1)/4)+1</x:f>
        <x:v>18</x:v>
      </x:c>
      <x:c r="C73" t="n">
        <x:f>MOD(A73-1,4)+1</x:f>
        <x:v>1</x:v>
      </x:c>
      <x:c r="D73" t="n">
        <x:f>INDEX(Dataset!$B$5:$B$8,C73)</x:f>
        <x:v>-1</x:v>
      </x:c>
      <x:c r="E73" t="n">
        <x:f>INDEX(Dataset!$C$5:$C$8,C73)</x:f>
        <x:v>-1</x:v>
      </x:c>
      <x:c r="F73" t="n">
        <x:f>INDEX(Dataset!$D$5:$D$8,C73)</x:f>
        <x:v>-1</x:v>
      </x:c>
      <x:c r="G73" t="n">
        <x:f>M72</x:f>
        <x:v>0.5292463915421373</x:v>
      </x:c>
      <x:c r="H73" t="n">
        <x:f>N72</x:f>
        <x:v>0.5587228153846383</x:v>
      </x:c>
      <x:c r="I73" t="n">
        <x:f>O72</x:f>
        <x:v>-0.4997853438170685</x:v>
      </x:c>
      <x:c r="J73" t="n">
        <x:f>G73*D73+H73*E73+I73</x:f>
        <x:v>-1.587754550743844</x:v>
      </x:c>
      <x:c r="K73" t="n">
        <x:f>F73-J73</x:f>
        <x:v>0.587754550743844</x:v>
      </x:c>
      <x:c r="L73" t="n">
        <x:f>K73^2</x:f>
        <x:v>0.3454554119200979</x:v>
      </x:c>
      <x:c r="M73" t="n">
        <x:f>G73+Parameters!$B$5*K73*D73</x:f>
        <x:v>0.47047093646775284</x:v>
      </x:c>
      <x:c r="N73" t="n">
        <x:f>H73+Parameters!$B$5*K73*E73</x:f>
        <x:v>0.4999473603102539</x:v>
      </x:c>
      <x:c r="O73" t="n">
        <x:f>I73+Parameters!$B$5*K73</x:f>
        <x:v>-0.4410098887426841</x:v>
      </x:c>
    </x:row>
    <x:row r="74">
      <x:c r="A74" t="n">
        <x:f>70</x:f>
        <x:v>70</x:v>
      </x:c>
      <x:c r="B74" t="n">
        <x:f>INT((A74-1)/4)+1</x:f>
        <x:v>18</x:v>
      </x:c>
      <x:c r="C74" t="n">
        <x:f>MOD(A74-1,4)+1</x:f>
        <x:v>2</x:v>
      </x:c>
      <x:c r="D74" t="n">
        <x:f>INDEX(Dataset!$B$5:$B$8,C74)</x:f>
        <x:v>-1</x:v>
      </x:c>
      <x:c r="E74" t="n">
        <x:f>INDEX(Dataset!$C$5:$C$8,C74)</x:f>
        <x:v>1</x:v>
      </x:c>
      <x:c r="F74" t="n">
        <x:f>INDEX(Dataset!$D$5:$D$8,C74)</x:f>
        <x:v>-1</x:v>
      </x:c>
      <x:c r="G74" t="n">
        <x:f>M73</x:f>
        <x:v>0.47047093646775284</x:v>
      </x:c>
      <x:c r="H74" t="n">
        <x:f>N73</x:f>
        <x:v>0.4999473603102539</x:v>
      </x:c>
      <x:c r="I74" t="n">
        <x:f>O73</x:f>
        <x:v>-0.4410098887426841</x:v>
      </x:c>
      <x:c r="J74" t="n">
        <x:f>G74*D74+H74*E74+I74</x:f>
        <x:v>-0.41153346490018305</x:v>
      </x:c>
      <x:c r="K74" t="n">
        <x:f>F74-J74</x:f>
        <x:v>-0.588466535099817</x:v>
      </x:c>
      <x:c r="L74" t="n">
        <x:f>K74^2</x:f>
        <x:v>0.3462928629323841</x:v>
      </x:c>
      <x:c r="M74" t="n">
        <x:f>G74+Parameters!$B$5*K74*D74</x:f>
        <x:v>0.5293175899777345</x:v>
      </x:c>
      <x:c r="N74" t="n">
        <x:f>H74+Parameters!$B$5*K74*E74</x:f>
        <x:v>0.4411007068002722</x:v>
      </x:c>
      <x:c r="O74" t="n">
        <x:f>I74+Parameters!$B$5*K74</x:f>
        <x:v>-0.4998565422526658</x:v>
      </x:c>
    </x:row>
    <x:row r="75">
      <x:c r="A75" t="n">
        <x:f>71</x:f>
        <x:v>71</x:v>
      </x:c>
      <x:c r="B75" t="n">
        <x:f>INT((A75-1)/4)+1</x:f>
        <x:v>18</x:v>
      </x:c>
      <x:c r="C75" t="n">
        <x:f>MOD(A75-1,4)+1</x:f>
        <x:v>3</x:v>
      </x:c>
      <x:c r="D75" t="n">
        <x:f>INDEX(Dataset!$B$5:$B$8,C75)</x:f>
        <x:v>1</x:v>
      </x:c>
      <x:c r="E75" t="n">
        <x:f>INDEX(Dataset!$C$5:$C$8,C75)</x:f>
        <x:v>-1</x:v>
      </x:c>
      <x:c r="F75" t="n">
        <x:f>INDEX(Dataset!$D$5:$D$8,C75)</x:f>
        <x:v>-1</x:v>
      </x:c>
      <x:c r="G75" t="n">
        <x:f>M74</x:f>
        <x:v>0.5293175899777345</x:v>
      </x:c>
      <x:c r="H75" t="n">
        <x:f>N74</x:f>
        <x:v>0.4411007068002722</x:v>
      </x:c>
      <x:c r="I75" t="n">
        <x:f>O74</x:f>
        <x:v>-0.4998565422526658</x:v>
      </x:c>
      <x:c r="J75" t="n">
        <x:f>G75*D75+H75*E75+I75</x:f>
        <x:v>-0.4116396590752035</x:v>
      </x:c>
      <x:c r="K75" t="n">
        <x:f>F75-J75</x:f>
        <x:v>-0.5883603409247965</x:v>
      </x:c>
      <x:c r="L75" t="n">
        <x:f>K75^2</x:f>
        <x:v>0.34616789077314275</x:v>
      </x:c>
      <x:c r="M75" t="n">
        <x:f>G75+Parameters!$B$5*K75*D75</x:f>
        <x:v>0.4704815558852548</x:v>
      </x:c>
      <x:c r="N75" t="n">
        <x:f>H75+Parameters!$B$5*K75*E75</x:f>
        <x:v>0.49993674089275186</x:v>
      </x:c>
      <x:c r="O75" t="n">
        <x:f>I75+Parameters!$B$5*K75</x:f>
        <x:v>-0.5586925763451455</x:v>
      </x:c>
    </x:row>
    <x:row r="76">
      <x:c r="A76" t="n">
        <x:f>72</x:f>
        <x:v>72</x:v>
      </x:c>
      <x:c r="B76" t="n">
        <x:f>INT((A76-1)/4)+1</x:f>
        <x:v>18</x:v>
      </x:c>
      <x:c r="C76" t="n">
        <x:f>MOD(A76-1,4)+1</x:f>
        <x:v>4</x:v>
      </x:c>
      <x:c r="D76" t="n">
        <x:f>INDEX(Dataset!$B$5:$B$8,C76)</x:f>
        <x:v>1</x:v>
      </x:c>
      <x:c r="E76" t="n">
        <x:f>INDEX(Dataset!$C$5:$C$8,C76)</x:f>
        <x:v>1</x:v>
      </x:c>
      <x:c r="F76" t="n">
        <x:f>INDEX(Dataset!$D$5:$D$8,C76)</x:f>
        <x:v>1</x:v>
      </x:c>
      <x:c r="G76" t="n">
        <x:f>M75</x:f>
        <x:v>0.4704815558852548</x:v>
      </x:c>
      <x:c r="H76" t="n">
        <x:f>N75</x:f>
        <x:v>0.49993674089275186</x:v>
      </x:c>
      <x:c r="I76" t="n">
        <x:f>O75</x:f>
        <x:v>-0.5586925763451455</x:v>
      </x:c>
      <x:c r="J76" t="n">
        <x:f>G76*D76+H76*E76+I76</x:f>
        <x:v>0.41172572043286115</x:v>
      </x:c>
      <x:c r="K76" t="n">
        <x:f>F76-J76</x:f>
        <x:v>0.5882742795671388</x:v>
      </x:c>
      <x:c r="L76" t="n">
        <x:f>K76^2</x:f>
        <x:v>0.34606662800023624</x:v>
      </x:c>
      <x:c r="M76" t="n">
        <x:f>G76+Parameters!$B$5*K76*D76</x:f>
        <x:v>0.5293089838419687</x:v>
      </x:c>
      <x:c r="N76" t="n">
        <x:f>H76+Parameters!$B$5*K76*E76</x:f>
        <x:v>0.5587641688494658</x:v>
      </x:c>
      <x:c r="O76" t="n">
        <x:f>I76+Parameters!$B$5*K76</x:f>
        <x:v>-0.49986514838843155</x:v>
      </x:c>
    </x:row>
    <x:row r="77">
      <x:c r="A77" t="n">
        <x:f>73</x:f>
        <x:v>73</x:v>
      </x:c>
      <x:c r="B77" t="n">
        <x:f>INT((A77-1)/4)+1</x:f>
        <x:v>19</x:v>
      </x:c>
      <x:c r="C77" t="n">
        <x:f>MOD(A77-1,4)+1</x:f>
        <x:v>1</x:v>
      </x:c>
      <x:c r="D77" t="n">
        <x:f>INDEX(Dataset!$B$5:$B$8,C77)</x:f>
        <x:v>-1</x:v>
      </x:c>
      <x:c r="E77" t="n">
        <x:f>INDEX(Dataset!$C$5:$C$8,C77)</x:f>
        <x:v>-1</x:v>
      </x:c>
      <x:c r="F77" t="n">
        <x:f>INDEX(Dataset!$D$5:$D$8,C77)</x:f>
        <x:v>-1</x:v>
      </x:c>
      <x:c r="G77" t="n">
        <x:f>M76</x:f>
        <x:v>0.5293089838419687</x:v>
      </x:c>
      <x:c r="H77" t="n">
        <x:f>N76</x:f>
        <x:v>0.5587641688494658</x:v>
      </x:c>
      <x:c r="I77" t="n">
        <x:f>O76</x:f>
        <x:v>-0.49986514838843155</x:v>
      </x:c>
      <x:c r="J77" t="n">
        <x:f>G77*D77+H77*E77+I77</x:f>
        <x:v>-1.587938301079866</x:v>
      </x:c>
      <x:c r="K77" t="n">
        <x:f>F77-J77</x:f>
        <x:v>0.587938301079866</x:v>
      </x:c>
      <x:c r="L77" t="n">
        <x:f>K77^2</x:f>
        <x:v>0.34567144587667914</x:v>
      </x:c>
      <x:c r="M77" t="n">
        <x:f>G77+Parameters!$B$5*K77*D77</x:f>
        <x:v>0.47051515373398206</x:v>
      </x:c>
      <x:c r="N77" t="n">
        <x:f>H77+Parameters!$B$5*K77*E77</x:f>
        <x:v>0.49997033874147917</x:v>
      </x:c>
      <x:c r="O77" t="n">
        <x:f>I77+Parameters!$B$5*K77</x:f>
        <x:v>-0.44107131828044494</x:v>
      </x:c>
    </x:row>
    <x:row r="78">
      <x:c r="A78" t="n">
        <x:f>74</x:f>
        <x:v>74</x:v>
      </x:c>
      <x:c r="B78" t="n">
        <x:f>INT((A78-1)/4)+1</x:f>
        <x:v>19</x:v>
      </x:c>
      <x:c r="C78" t="n">
        <x:f>MOD(A78-1,4)+1</x:f>
        <x:v>2</x:v>
      </x:c>
      <x:c r="D78" t="n">
        <x:f>INDEX(Dataset!$B$5:$B$8,C78)</x:f>
        <x:v>-1</x:v>
      </x:c>
      <x:c r="E78" t="n">
        <x:f>INDEX(Dataset!$C$5:$C$8,C78)</x:f>
        <x:v>1</x:v>
      </x:c>
      <x:c r="F78" t="n">
        <x:f>INDEX(Dataset!$D$5:$D$8,C78)</x:f>
        <x:v>-1</x:v>
      </x:c>
      <x:c r="G78" t="n">
        <x:f>M77</x:f>
        <x:v>0.47051515373398206</x:v>
      </x:c>
      <x:c r="H78" t="n">
        <x:f>N77</x:f>
        <x:v>0.49997033874147917</x:v>
      </x:c>
      <x:c r="I78" t="n">
        <x:f>O77</x:f>
        <x:v>-0.44107131828044494</x:v>
      </x:c>
      <x:c r="J78" t="n">
        <x:f>G78*D78+H78*E78+I78</x:f>
        <x:v>-0.4116161332729478</x:v>
      </x:c>
      <x:c r="K78" t="n">
        <x:f>F78-J78</x:f>
        <x:v>-0.5883838667270522</x:v>
      </x:c>
      <x:c r="L78" t="n">
        <x:f>K78^2</x:f>
        <x:v>0.34619557462467754</x:v>
      </x:c>
      <x:c r="M78" t="n">
        <x:f>G78+Parameters!$B$5*K78*D78</x:f>
        <x:v>0.5293535404066873</x:v>
      </x:c>
      <x:c r="N78" t="n">
        <x:f>H78+Parameters!$B$5*K78*E78</x:f>
        <x:v>0.4411319520687739</x:v>
      </x:c>
      <x:c r="O78" t="n">
        <x:f>I78+Parameters!$B$5*K78</x:f>
        <x:v>-0.4999097049531502</x:v>
      </x:c>
    </x:row>
    <x:row r="79">
      <x:c r="A79" t="n">
        <x:f>75</x:f>
        <x:v>75</x:v>
      </x:c>
      <x:c r="B79" t="n">
        <x:f>INT((A79-1)/4)+1</x:f>
        <x:v>19</x:v>
      </x:c>
      <x:c r="C79" t="n">
        <x:f>MOD(A79-1,4)+1</x:f>
        <x:v>3</x:v>
      </x:c>
      <x:c r="D79" t="n">
        <x:f>INDEX(Dataset!$B$5:$B$8,C79)</x:f>
        <x:v>1</x:v>
      </x:c>
      <x:c r="E79" t="n">
        <x:f>INDEX(Dataset!$C$5:$C$8,C79)</x:f>
        <x:v>-1</x:v>
      </x:c>
      <x:c r="F79" t="n">
        <x:f>INDEX(Dataset!$D$5:$D$8,C79)</x:f>
        <x:v>-1</x:v>
      </x:c>
      <x:c r="G79" t="n">
        <x:f>M78</x:f>
        <x:v>0.5293535404066873</x:v>
      </x:c>
      <x:c r="H79" t="n">
        <x:f>N78</x:f>
        <x:v>0.4411319520687739</x:v>
      </x:c>
      <x:c r="I79" t="n">
        <x:f>O78</x:f>
        <x:v>-0.4999097049531502</x:v>
      </x:c>
      <x:c r="J79" t="n">
        <x:f>G79*D79+H79*E79+I79</x:f>
        <x:v>-0.41168811661523685</x:v>
      </x:c>
      <x:c r="K79" t="n">
        <x:f>F79-J79</x:f>
        <x:v>-0.5883118833847631</x:v>
      </x:c>
      <x:c r="L79" t="n">
        <x:f>K79^2</x:f>
        <x:v>0.34611087213172714</x:v>
      </x:c>
      <x:c r="M79" t="n">
        <x:f>G79+Parameters!$B$5*K79*D79</x:f>
        <x:v>0.4705223520682109</x:v>
      </x:c>
      <x:c r="N79" t="n">
        <x:f>H79+Parameters!$B$5*K79*E79</x:f>
        <x:v>0.49996314040725026</x:v>
      </x:c>
      <x:c r="O79" t="n">
        <x:f>I79+Parameters!$B$5*K79</x:f>
        <x:v>-0.5587408932916265</x:v>
      </x:c>
    </x:row>
    <x:row r="80">
      <x:c r="A80" t="n">
        <x:f>76</x:f>
        <x:v>76</x:v>
      </x:c>
      <x:c r="B80" t="n">
        <x:f>INT((A80-1)/4)+1</x:f>
        <x:v>19</x:v>
      </x:c>
      <x:c r="C80" t="n">
        <x:f>MOD(A80-1,4)+1</x:f>
        <x:v>4</x:v>
      </x:c>
      <x:c r="D80" t="n">
        <x:f>INDEX(Dataset!$B$5:$B$8,C80)</x:f>
        <x:v>1</x:v>
      </x:c>
      <x:c r="E80" t="n">
        <x:f>INDEX(Dataset!$C$5:$C$8,C80)</x:f>
        <x:v>1</x:v>
      </x:c>
      <x:c r="F80" t="n">
        <x:f>INDEX(Dataset!$D$5:$D$8,C80)</x:f>
        <x:v>1</x:v>
      </x:c>
      <x:c r="G80" t="n">
        <x:f>M79</x:f>
        <x:v>0.4705223520682109</x:v>
      </x:c>
      <x:c r="H80" t="n">
        <x:f>N79</x:f>
        <x:v>0.49996314040725026</x:v>
      </x:c>
      <x:c r="I80" t="n">
        <x:f>O79</x:f>
        <x:v>-0.5587408932916265</x:v>
      </x:c>
      <x:c r="J80" t="n">
        <x:f>G80*D80+H80*E80+I80</x:f>
        <x:v>0.41174459918383466</x:v>
      </x:c>
      <x:c r="K80" t="n">
        <x:f>F80-J80</x:f>
        <x:v>0.5882554008161653</x:v>
      </x:c>
      <x:c r="L80" t="n">
        <x:f>K80^2</x:f>
        <x:v>0.34604441658938734</x:v>
      </x:c>
      <x:c r="M80" t="n">
        <x:f>G80+Parameters!$B$5*K80*D80</x:f>
        <x:v>0.5293478921498275</x:v>
      </x:c>
      <x:c r="N80" t="n">
        <x:f>H80+Parameters!$B$5*K80*E80</x:f>
        <x:v>0.5587886804888668</x:v>
      </x:c>
      <x:c r="O80" t="n">
        <x:f>I80+Parameters!$B$5*K80</x:f>
        <x:v>-0.4999153532100099</x:v>
      </x:c>
    </x:row>
    <x:row r="81">
      <x:c r="A81" t="n">
        <x:f>77</x:f>
        <x:v>77</x:v>
      </x:c>
      <x:c r="B81" t="n">
        <x:f>INT((A81-1)/4)+1</x:f>
        <x:v>20</x:v>
      </x:c>
      <x:c r="C81" t="n">
        <x:f>MOD(A81-1,4)+1</x:f>
        <x:v>1</x:v>
      </x:c>
      <x:c r="D81" t="n">
        <x:f>INDEX(Dataset!$B$5:$B$8,C81)</x:f>
        <x:v>-1</x:v>
      </x:c>
      <x:c r="E81" t="n">
        <x:f>INDEX(Dataset!$C$5:$C$8,C81)</x:f>
        <x:v>-1</x:v>
      </x:c>
      <x:c r="F81" t="n">
        <x:f>INDEX(Dataset!$D$5:$D$8,C81)</x:f>
        <x:v>-1</x:v>
      </x:c>
      <x:c r="G81" t="n">
        <x:f>M80</x:f>
        <x:v>0.5293478921498275</x:v>
      </x:c>
      <x:c r="H81" t="n">
        <x:f>N80</x:f>
        <x:v>0.5587886804888668</x:v>
      </x:c>
      <x:c r="I81" t="n">
        <x:f>O80</x:f>
        <x:v>-0.4999153532100099</x:v>
      </x:c>
      <x:c r="J81" t="n">
        <x:f>G81*D81+H81*E81+I81</x:f>
        <x:v>-1.588051925848704</x:v>
      </x:c>
      <x:c r="K81" t="n">
        <x:f>F81-J81</x:f>
        <x:v>0.588051925848704</x:v>
      </x:c>
      <x:c r="L81" t="n">
        <x:f>K81^2</x:f>
        <x:v>0.3458050674943697</x:v>
      </x:c>
      <x:c r="M81" t="n">
        <x:f>G81+Parameters!$B$5*K81*D81</x:f>
        <x:v>0.4705426995649571</x:v>
      </x:c>
      <x:c r="N81" t="n">
        <x:f>H81+Parameters!$B$5*K81*E81</x:f>
        <x:v>0.4999834879039964</x:v>
      </x:c>
      <x:c r="O81" t="n">
        <x:f>I81+Parameters!$B$5*K81</x:f>
        <x:v>-0.4411101606251395</x:v>
      </x:c>
    </x:row>
    <x:row r="82">
      <x:c r="A82" t="n">
        <x:f>78</x:f>
        <x:v>78</x:v>
      </x:c>
      <x:c r="B82" t="n">
        <x:f>INT((A82-1)/4)+1</x:f>
        <x:v>20</x:v>
      </x:c>
      <x:c r="C82" t="n">
        <x:f>MOD(A82-1,4)+1</x:f>
        <x:v>2</x:v>
      </x:c>
      <x:c r="D82" t="n">
        <x:f>INDEX(Dataset!$B$5:$B$8,C82)</x:f>
        <x:v>-1</x:v>
      </x:c>
      <x:c r="E82" t="n">
        <x:f>INDEX(Dataset!$C$5:$C$8,C82)</x:f>
        <x:v>1</x:v>
      </x:c>
      <x:c r="F82" t="n">
        <x:f>INDEX(Dataset!$D$5:$D$8,C82)</x:f>
        <x:v>-1</x:v>
      </x:c>
      <x:c r="G82" t="n">
        <x:f>M81</x:f>
        <x:v>0.4705426995649571</x:v>
      </x:c>
      <x:c r="H82" t="n">
        <x:f>N81</x:f>
        <x:v>0.4999834879039964</x:v>
      </x:c>
      <x:c r="I82" t="n">
        <x:f>O81</x:f>
        <x:v>-0.4411101606251395</x:v>
      </x:c>
      <x:c r="J82" t="n">
        <x:f>G82*D82+H82*E82+I82</x:f>
        <x:v>-0.41166937228610023</x:v>
      </x:c>
      <x:c r="K82" t="n">
        <x:f>F82-J82</x:f>
        <x:v>-0.5883306277138998</x:v>
      </x:c>
      <x:c r="L82" t="n">
        <x:f>K82^2</x:f>
        <x:v>0.3461329275062313</x:v>
      </x:c>
      <x:c r="M82" t="n">
        <x:f>G82+Parameters!$B$5*K82*D82</x:f>
        <x:v>0.5293757623363471</x:v>
      </x:c>
      <x:c r="N82" t="n">
        <x:f>H82+Parameters!$B$5*K82*E82</x:f>
        <x:v>0.4411504251326064</x:v>
      </x:c>
      <x:c r="O82" t="n">
        <x:f>I82+Parameters!$B$5*K82</x:f>
        <x:v>-0.4999432233965295</x:v>
      </x:c>
    </x:row>
    <x:row r="83">
      <x:c r="A83" t="n">
        <x:f>79</x:f>
        <x:v>79</x:v>
      </x:c>
      <x:c r="B83" t="n">
        <x:f>INT((A83-1)/4)+1</x:f>
        <x:v>20</x:v>
      </x:c>
      <x:c r="C83" t="n">
        <x:f>MOD(A83-1,4)+1</x:f>
        <x:v>3</x:v>
      </x:c>
      <x:c r="D83" t="n">
        <x:f>INDEX(Dataset!$B$5:$B$8,C83)</x:f>
        <x:v>1</x:v>
      </x:c>
      <x:c r="E83" t="n">
        <x:f>INDEX(Dataset!$C$5:$C$8,C83)</x:f>
        <x:v>-1</x:v>
      </x:c>
      <x:c r="F83" t="n">
        <x:f>INDEX(Dataset!$D$5:$D$8,C83)</x:f>
        <x:v>-1</x:v>
      </x:c>
      <x:c r="G83" t="n">
        <x:f>M82</x:f>
        <x:v>0.5293757623363471</x:v>
      </x:c>
      <x:c r="H83" t="n">
        <x:f>N82</x:f>
        <x:v>0.4411504251326064</x:v>
      </x:c>
      <x:c r="I83" t="n">
        <x:f>O82</x:f>
        <x:v>-0.4999432233965295</x:v>
      </x:c>
      <x:c r="J83" t="n">
        <x:f>G83*D83+H83*E83+I83</x:f>
        <x:v>-0.4117178861927888</x:v>
      </x:c>
      <x:c r="K83" t="n">
        <x:f>F83-J83</x:f>
        <x:v>-0.5882821138072112</x:v>
      </x:c>
      <x:c r="L83" t="n">
        <x:f>K83^2</x:f>
        <x:v>0.3460758454254806</x:v>
      </x:c>
      <x:c r="M83" t="n">
        <x:f>G83+Parameters!$B$5*K83*D83</x:f>
        <x:v>0.47054755095562595</x:v>
      </x:c>
      <x:c r="N83" t="n">
        <x:f>H83+Parameters!$B$5*K83*E83</x:f>
        <x:v>0.4999786365133275</x:v>
      </x:c>
      <x:c r="O83" t="n">
        <x:f>I83+Parameters!$B$5*K83</x:f>
        <x:v>-0.5587714347772507</x:v>
      </x:c>
    </x:row>
    <x:row r="84">
      <x:c r="A84" t="n">
        <x:f>80</x:f>
        <x:v>80</x:v>
      </x:c>
      <x:c r="B84" t="n">
        <x:f>INT((A84-1)/4)+1</x:f>
        <x:v>20</x:v>
      </x:c>
      <x:c r="C84" t="n">
        <x:f>MOD(A84-1,4)+1</x:f>
        <x:v>4</x:v>
      </x:c>
      <x:c r="D84" t="n">
        <x:f>INDEX(Dataset!$B$5:$B$8,C84)</x:f>
        <x:v>1</x:v>
      </x:c>
      <x:c r="E84" t="n">
        <x:f>INDEX(Dataset!$C$5:$C$8,C84)</x:f>
        <x:v>1</x:v>
      </x:c>
      <x:c r="F84" t="n">
        <x:f>INDEX(Dataset!$D$5:$D$8,C84)</x:f>
        <x:v>1</x:v>
      </x:c>
      <x:c r="G84" t="n">
        <x:f>M83</x:f>
        <x:v>0.47054755095562595</x:v>
      </x:c>
      <x:c r="H84" t="n">
        <x:f>N83</x:f>
        <x:v>0.4999786365133275</x:v>
      </x:c>
      <x:c r="I84" t="n">
        <x:f>O83</x:f>
        <x:v>-0.5587714347772507</x:v>
      </x:c>
      <x:c r="J84" t="n">
        <x:f>G84*D84+H84*E84+I84</x:f>
        <x:v>0.4117547526917028</x:v>
      </x:c>
      <x:c r="K84" t="n">
        <x:f>F84-J84</x:f>
        <x:v>0.5882452473082972</x:v>
      </x:c>
      <x:c r="L84" t="n">
        <x:f>K84^2</x:f>
        <x:v>0.3460324709807997</x:v>
      </x:c>
      <x:c r="M84" t="n">
        <x:f>G84+Parameters!$B$5*K84*D84</x:f>
        <x:v>0.5293720756864557</x:v>
      </x:c>
      <x:c r="N84" t="n">
        <x:f>H84+Parameters!$B$5*K84*E84</x:f>
        <x:v>0.5588031612441573</x:v>
      </x:c>
      <x:c r="O84" t="n">
        <x:f>I84+Parameters!$B$5*K84</x:f>
        <x:v>-0.49994691004642094</x:v>
      </x:c>
    </x:row>
  </x:sheetData>
  <x:mergeCells>
    <x:mergeCell ref="A1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</x:cols>
  <x:sheetData>
    <x:row r="1" ht="26" customHeight="1">
      <x:c r="A1" s="3" t="str">
        <x:v>ADALINE | EPOCH ANALYSIS</x:v>
      </x:c>
      <x:c r="B1" s="3"/>
      <x:c r="C1" s="3"/>
      <x:c r="D1" s="3"/>
      <x:c r="E1" s="3"/>
      <x:c r="F1" s="3"/>
      <x:c r="G1" s="3"/>
    </x:row>
    <x:row r="2" ht="26" customHeight="1">
      <x:c r="A2" s="3"/>
      <x:c r="B2" s="3"/>
      <x:c r="C2" s="3"/>
      <x:c r="D2" s="3"/>
      <x:c r="E2" s="3"/>
      <x:c r="F2" s="3"/>
      <x:c r="G2" s="3"/>
    </x:row>
    <x:row r="4" ht="27" customHeight="1">
      <x:c r="A4" s="7" t="str">
        <x:v>Epoch</x:v>
      </x:c>
      <x:c r="B4" s="7" t="str">
        <x:v>Online MSE</x:v>
      </x:c>
      <x:c r="C4" s="7" t="str">
        <x:v>End w1</x:v>
      </x:c>
      <x:c r="D4" s="7" t="str">
        <x:v>End w2</x:v>
      </x:c>
      <x:c r="E4" s="7" t="str">
        <x:v>End bias</x:v>
      </x:c>
    </x:row>
    <x:row r="5">
      <x:c r="A5" t="n">
        <x:f>1</x:f>
        <x:v>1</x:v>
      </x:c>
      <x:c r="B5" t="n">
        <x:f>SUM(Training!L5:L8)/4</x:f>
        <x:v>0.99400525</x:v>
      </x:c>
      <x:c r="C5" t="n">
        <x:f>Training!M8</x:f>
        <x:v>0.1999</x:v>
      </x:c>
      <x:c r="D5" t="n">
        <x:f>Training!N8</x:f>
        <x:v>0.21789999999999998</x:v>
      </x:c>
      <x:c r="E5" t="n">
        <x:f>Training!O8</x:f>
        <x:v>-0.18010000000000004</x:v>
      </x:c>
    </x:row>
    <x:row r="6">
      <x:c r="A6" t="n">
        <x:f>2</x:f>
        <x:v>2</x:v>
      </x:c>
      <x:c r="B6" t="n">
        <x:f>SUM(Training!L9:L12)/4</x:f>
        <x:v>0.5727629194012526</x:v>
      </x:c>
      <x:c r="C6" t="n">
        <x:f>Training!M12</x:f>
        <x:v>0.32433359000000006</x:v>
      </x:c>
      <x:c r="D6" t="n">
        <x:f>Training!N12</x:f>
        <x:v>0.35108739</x:v>
      </x:c>
      <x:c r="E6" t="n">
        <x:f>Training!O12</x:f>
        <x:v>-0.29562441</x:v>
      </x:c>
    </x:row>
    <x:row r="7">
      <x:c r="A7" t="n">
        <x:f>3</x:f>
        <x:v>3</x:v>
      </x:c>
      <x:c r="B7" t="n">
        <x:f>SUM(Training!L13:L16)/4</x:f>
        <x:v>0.4187611788943588</x:v>
      </x:c>
      <x:c r="C7" t="n">
        <x:f>Training!M16</x:f>
        <x:v>0.40178610511900004</x:v>
      </x:c>
      <x:c r="D7" t="n">
        <x:f>Training!N16</x:f>
        <x:v>0.43240306369899995</x:v>
      </x:c>
      <x:c r="E7" t="n">
        <x:f>Training!O16</x:f>
        <x:v>-0.36960960268099996</x:v>
      </x:c>
    </x:row>
    <x:row r="8">
      <x:c r="A8" t="n">
        <x:f>4</x:f>
        <x:v>4</x:v>
      </x:c>
      <x:c r="B8" t="n">
        <x:f>SUM(Training!L17:L20)/4</x:f>
        <x:v>0.3648740659385786</x:v>
      </x:c>
      <x:c r="C8" t="n">
        <x:f>Training!M20</x:f>
        <x:v>0.44999257117832797</x:v>
      </x:c>
      <x:c r="D8" t="n">
        <x:f>Training!N20</x:f>
        <x:v>0.4819904909873059</x:v>
      </x:c>
      <x:c r="E8" t="n">
        <x:f>Training!O20</x:f>
        <x:v>-0.4169208289316521</x:v>
      </x:c>
    </x:row>
    <x:row r="9">
      <x:c r="A9" t="n">
        <x:f>5</x:f>
        <x:v>5</x:v>
      </x:c>
      <x:c r="B9" t="n">
        <x:f>SUM(Training!L21:L24)/4</x:f>
        <x:v>0.34758744114163265</x:v>
      </x:c>
      <x:c r="C9" t="n">
        <x:f>Training!M24</x:f>
        <x:v>0.4799942655016477</x:v>
      </x:c>
      <x:c r="D9" t="n">
        <x:f>Training!N24</x:f>
        <x:v>0.5121923669867755</x:v>
      </x:c>
      <x:c r="E9" t="n">
        <x:f>Training!O24</x:f>
        <x:v>-0.44713185238628617</x:v>
      </x:c>
    </x:row>
    <x:row r="10">
      <x:c r="A10" t="n">
        <x:f>6</x:f>
        <x:v>6</x:v>
      </x:c>
      <x:c r="B10" t="n">
        <x:f>SUM(Training!L25:L28)/4</x:f>
        <x:v>0.34310794033069647</x:v>
      </x:c>
      <x:c r="C10" t="n">
        <x:f>Training!M28</x:f>
        <x:v>0.4986647611934826</x:v>
      </x:c>
      <x:c r="D10" t="n">
        <x:f>Training!N28</x:f>
        <x:v>0.5305635840362856</x:v>
      </x:c>
      <x:c r="E10" t="n">
        <x:f>Training!O28</x:f>
        <x:v>-0.4663972792367718</x:v>
      </x:c>
    </x:row>
    <x:row r="11">
      <x:c r="A11" t="n">
        <x:f>7</x:f>
        <x:v>7</x:v>
      </x:c>
      <x:c r="B11" t="n">
        <x:f>SUM(Training!L29:L32)/4</x:f>
        <x:v>0.3427369943722881</x:v>
      </x:c>
      <x:c r="C11" t="n">
        <x:f>Training!M32</x:f>
        <x:v>0.5102828416704783</x:v>
      </x:c>
      <x:c r="D11" t="n">
        <x:f>Training!N32</x:f>
        <x:v>0.5417234174972139</x:v>
      </x:c>
      <x:c r="E11" t="n">
        <x:f>Training!O32</x:f>
        <x:v>-0.47866689507700494</x:v>
      </x:c>
    </x:row>
    <x:row r="12">
      <x:c r="A12" t="n">
        <x:f>8</x:f>
        <x:v>8</x:v>
      </x:c>
      <x:c r="B12" t="n">
        <x:f>SUM(Training!L33:L36)/4</x:f>
        <x:v>0.3434306950936607</x:v>
      </x:c>
      <x:c r="C12" t="n">
        <x:f>Training!M36</x:f>
        <x:v>0.5175118759861155</x:v>
      </x:c>
      <x:c r="D12" t="n">
        <x:f>Training!N36</x:f>
        <x:v>0.5484930414056408</x:v>
      </x:c>
      <x:c r="E12" t="n">
        <x:f>Training!O36</x:f>
        <x:v>-0.48647142914726843</x:v>
      </x:c>
    </x:row>
    <x:row r="13">
      <x:c r="A13" t="n">
        <x:f>9</x:f>
        <x:v>9</x:v>
      </x:c>
      <x:c r="B13" t="n">
        <x:f>SUM(Training!L37:L40)/4</x:f>
        <x:v>0.34421245535500095</x:v>
      </x:c>
      <x:c r="C13" t="n">
        <x:f>Training!M40</x:f>
        <x:v>0.5220095968288567</x:v>
      </x:c>
      <x:c r="D13" t="n">
        <x:f>Training!N40</x:f>
        <x:v>0.5525934434990951</x:v>
      </x:c>
      <x:c r="E13" t="n">
        <x:f>Training!O40</x:f>
        <x:v>-0.491429913181954</x:v>
      </x:c>
    </x:row>
    <x:row r="14">
      <x:c r="A14" t="n">
        <x:f>10</x:f>
        <x:v>10</x:v>
      </x:c>
      <x:c r="B14" t="n">
        <x:f>SUM(Training!L41:L44)/4</x:f>
        <x:v>0.34482916363006677</x:v>
      </x:c>
      <x:c r="C14" t="n">
        <x:f>Training!M44</x:f>
        <x:v>0.5248077402162403</x:v>
      </x:c>
      <x:c r="D14" t="n">
        <x:f>Training!N44</x:f>
        <x:v>0.5550731927951689</x:v>
      </x:c>
      <x:c r="E14" t="n">
        <x:f>Training!O44</x:f>
        <x:v>-0.4945766248604442</x:v>
      </x:c>
    </x:row>
    <x:row r="15">
      <x:c r="A15" t="n">
        <x:f>11</x:f>
        <x:v>11</x:v>
      </x:c>
      <x:c r="B15" t="n">
        <x:f>SUM(Training!L45:L48)/4</x:f>
        <x:v>0.34525986149388616</x:v>
      </x:c>
      <x:c r="C15" t="n">
        <x:f>Training!M48</x:f>
        <x:v>0.5265483910754465</x:v>
      </x:c>
      <x:c r="D15" t="n">
        <x:f>Training!N48</x:f>
        <x:v>0.556570354292917</x:v>
      </x:c>
      <x:c r="E15" t="n">
        <x:f>Training!O48</x:f>
        <x:v>-0.4965713791280013</x:v>
      </x:c>
    </x:row>
    <x:row r="16">
      <x:c r="A16" t="n">
        <x:f>12</x:f>
        <x:v>12</x:v>
      </x:c>
      <x:c r="B16" t="n">
        <x:f>SUM(Training!L49:L52)/4</x:f>
        <x:v>0.3455437834588314</x:v>
      </x:c>
      <x:c r="C16" t="n">
        <x:f>Training!M52</x:f>
        <x:v>0.5276311121878123</x:v>
      </x:c>
      <x:c r="D16" t="n">
        <x:f>Training!N52</x:f>
        <x:v>0.5574726820490767</x:v>
      </x:c>
      <x:c r="E16" t="n">
        <x:f>Training!O52</x:f>
        <x:v>-0.4978345524241836</x:v>
      </x:c>
    </x:row>
    <x:row r="17">
      <x:c r="A17" t="n">
        <x:f>13</x:f>
        <x:v>13</x:v>
      </x:c>
      <x:c r="B17" t="n">
        <x:f>SUM(Training!L53:L56)/4</x:f>
        <x:v>0.34572516472486825</x:v>
      </x:c>
      <x:c r="C17" t="n">
        <x:f>Training!M56</x:f>
        <x:v>0.528304528755208</x:v>
      </x:c>
      <x:c r="D17" t="n">
        <x:f>Training!N56</x:f>
        <x:v>0.5580154877140303</x:v>
      </x:c>
      <x:c r="E17" t="n">
        <x:f>Training!O56</x:f>
        <x:v>-0.4986336369452112</x:v>
      </x:c>
    </x:row>
    <x:row r="18">
      <x:c r="A18" t="n">
        <x:f>14</x:f>
        <x:v>14</x:v>
      </x:c>
      <x:c r="B18" t="n">
        <x:f>SUM(Training!L57:L60)/4</x:f>
        <x:v>0.3458389225023318</x:v>
      </x:c>
      <x:c r="C18" t="n">
        <x:f>Training!M60</x:f>
        <x:v>0.5287233341689985</x:v>
      </x:c>
      <x:c r="D18" t="n">
        <x:f>Training!N60</x:f>
        <x:v>0.558341363291393</x:v>
      </x:c>
      <x:c r="E18" t="n">
        <x:f>Training!O60</x:f>
        <x:v>-0.4991386383195421</x:v>
      </x:c>
    </x:row>
    <x:row r="19">
      <x:c r="A19" t="n">
        <x:f>15</x:f>
        <x:v>15</x:v>
      </x:c>
      <x:c r="B19" t="n">
        <x:f>SUM(Training!L61:L64)/4</x:f>
        <x:v>0.3459094599488573</x:v>
      </x:c>
      <x:c r="C19" t="n">
        <x:f>Training!M64</x:f>
        <x:v>0.5289837702449399</x:v>
      </x:c>
      <x:c r="D19" t="n">
        <x:f>Training!N64</x:f>
        <x:v>0.5585365822059934</x:v>
      </x:c>
      <x:c r="E19" t="n">
        <x:f>Training!O64</x:f>
        <x:v>-0.4994574799637832</x:v>
      </x:c>
    </x:row>
    <x:row r="20">
      <x:c r="A20" t="n">
        <x:f>16</x:f>
        <x:v>16</x:v>
      </x:c>
      <x:c r="B20" t="n">
        <x:f>SUM(Training!L65:L68)/4</x:f>
        <x:v>0.34595287717165824</x:v>
      </x:c>
      <x:c r="C20" t="n">
        <x:f>Training!M68</x:f>
        <x:v>0.5291457084995161</x:v>
      </x:c>
      <x:c r="D20" t="n">
        <x:f>Training!N68</x:f>
        <x:v>0.5586532579809231</x:v>
      </x:c>
      <x:c r="E20" t="n">
        <x:f>Training!O68</x:f>
        <x:v>-0.499658598274012</x:v>
      </x:c>
    </x:row>
    <x:row r="21">
      <x:c r="A21" t="n">
        <x:f>17</x:f>
        <x:v>17</x:v>
      </x:c>
      <x:c r="B21" t="n">
        <x:f>SUM(Training!L69:L72)/4</x:f>
        <x:v>0.34597946897031806</x:v>
      </x:c>
      <x:c r="C21" t="n">
        <x:f>Training!M72</x:f>
        <x:v>0.5292463915421373</x:v>
      </x:c>
      <x:c r="D21" t="n">
        <x:f>Training!N72</x:f>
        <x:v>0.5587228153846383</x:v>
      </x:c>
      <x:c r="E21" t="n">
        <x:f>Training!O72</x:f>
        <x:v>-0.4997853438170685</x:v>
      </x:c>
    </x:row>
    <x:row r="22">
      <x:c r="A22" t="n">
        <x:f>18</x:f>
        <x:v>18</x:v>
      </x:c>
      <x:c r="B22" t="n">
        <x:f>SUM(Training!L73:L76)/4</x:f>
        <x:v>0.3459956984064652</x:v>
      </x:c>
      <x:c r="C22" t="n">
        <x:f>Training!M76</x:f>
        <x:v>0.5293089838419687</x:v>
      </x:c>
      <x:c r="D22" t="n">
        <x:f>Training!N76</x:f>
        <x:v>0.5587641688494658</x:v>
      </x:c>
      <x:c r="E22" t="n">
        <x:f>Training!O76</x:f>
        <x:v>-0.49986514838843155</x:v>
      </x:c>
    </x:row>
    <x:row r="23">
      <x:c r="A23" t="n">
        <x:f>19</x:f>
        <x:v>19</x:v>
      </x:c>
      <x:c r="B23" t="n">
        <x:f>SUM(Training!L77:L80)/4</x:f>
        <x:v>0.34600557730561776</x:v>
      </x:c>
      <x:c r="C23" t="n">
        <x:f>Training!M80</x:f>
        <x:v>0.5293478921498275</x:v>
      </x:c>
      <x:c r="D23" t="n">
        <x:f>Training!N80</x:f>
        <x:v>0.5587886804888668</x:v>
      </x:c>
      <x:c r="E23" t="n">
        <x:f>Training!O80</x:f>
        <x:v>-0.4999153532100099</x:v>
      </x:c>
    </x:row>
    <x:row r="24">
      <x:c r="A24" t="n">
        <x:f>20</x:f>
        <x:v>20</x:v>
      </x:c>
      <x:c r="B24" t="n">
        <x:f>SUM(Training!L81:L84)/4</x:f>
        <x:v>0.3460115778517203</x:v>
      </x:c>
      <x:c r="C24" t="n">
        <x:f>Training!M84</x:f>
        <x:v>0.5293720756864557</x:v>
      </x:c>
      <x:c r="D24" t="n">
        <x:f>Training!N84</x:f>
        <x:v>0.5588031612441573</x:v>
      </x:c>
      <x:c r="E24" t="n">
        <x:f>Training!O84</x:f>
        <x:v>-0.49994691004642094</x:v>
      </x:c>
    </x:row>
  </x:sheetData>
  <x:mergeCells>
    <x:mergeCell ref="A1:G2"/>
  </x:mergeCells>
  <x:pageMargins left="0.7" right="0.7" top="0.75" bottom="0.75" header="0.3" footer="0.3"/>
  <x:drawing xmlns:r="http://schemas.openxmlformats.org/officeDocument/2006/relationships" r:id="Rc04885207b0b449f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7" hidden="0" customWidth="1"/>
    <x:col min="3" max="3" width="76" hidden="0" customWidth="1"/>
  </x:cols>
  <x:sheetData>
    <x:row r="1" ht="26" customHeight="1">
      <x:c r="A1" s="3" t="str">
        <x:v>MATHEMATICAL FORMULAS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4" ht="27" customHeight="1">
      <x:c r="A4" s="7" t="str">
        <x:v>Concept</x:v>
      </x:c>
      <x:c r="B4" s="7" t="str">
        <x:v>Equation</x:v>
      </x:c>
      <x:c r="C4" s="7" t="str">
        <x:v>Interpretation</x:v>
      </x:c>
    </x:row>
    <x:row r="5">
      <x:c r="A5" t="str">
        <x:v>Net input</x:v>
      </x:c>
      <x:c r="B5" t="str">
        <x:v>net = w1*x1 + w2*x2 + b</x:v>
      </x:c>
      <x:c r="C5" t="str">
        <x:v>Weighted sum plus intercept</x:v>
      </x:c>
    </x:row>
    <x:row r="6">
      <x:c r="A6" t="str">
        <x:v>ADALINE output</x:v>
      </x:c>
      <x:c r="B6" t="str">
        <x:v>y = net</x:v>
      </x:c>
      <x:c r="C6" t="str">
        <x:v>Continuous output during learning</x:v>
      </x:c>
    </x:row>
    <x:row r="7">
      <x:c r="A7" t="str">
        <x:v>ADALINE residual</x:v>
      </x:c>
      <x:c r="B7" t="str">
        <x:v>e = t - y</x:v>
      </x:c>
      <x:c r="C7" t="str">
        <x:v>Linear-output difference</x:v>
      </x:c>
    </x:row>
    <x:row r="8">
      <x:c r="A8" t="str">
        <x:v>Squared error</x:v>
      </x:c>
      <x:c r="B8" t="str">
        <x:v>e² = (t-y)²</x:v>
      </x:c>
      <x:c r="C8" t="str">
        <x:v>Non-negative squared residual</x:v>
      </x:c>
    </x:row>
    <x:row r="9">
      <x:c r="A9" t="str">
        <x:v>Online LMS weight</x:v>
      </x:c>
      <x:c r="B9" t="str">
        <x:v>w_i(new) = w_i(old) + η*e*x_i</x:v>
      </x:c>
      <x:c r="C9" t="str">
        <x:v>Update after every sample</x:v>
      </x:c>
    </x:row>
    <x:row r="10">
      <x:c r="A10" t="str">
        <x:v>Online LMS bias</x:v>
      </x:c>
      <x:c r="B10" t="str">
        <x:v>b(new) = b(old) + η*e</x:v>
      </x:c>
      <x:c r="C10" t="str">
        <x:v>Bias uses constant input 1</x:v>
      </x:c>
    </x:row>
    <x:row r="11">
      <x:c r="A11" t="str">
        <x:v>Perceptron prediction</x:v>
      </x:c>
      <x:c r="B11" t="str">
        <x:v>ŷ = +1 if net &gt;= 0 else -1</x:v>
      </x:c>
      <x:c r="C11" t="str">
        <x:v>Threshold at zero</x:v>
      </x:c>
    </x:row>
    <x:row r="12">
      <x:c r="A12" t="str">
        <x:v>Perceptron weight</x:v>
      </x:c>
      <x:c r="B12" t="str">
        <x:v>w_i(new) = w_i(old) + η*t*x_i if ŷ != t</x:v>
      </x:c>
      <x:c r="C12" t="str">
        <x:v>Correct examples do not update weights</x:v>
      </x:c>
    </x:row>
    <x:row r="13">
      <x:c r="A13" t="str">
        <x:v>Perceptron bias</x:v>
      </x:c>
      <x:c r="B13" t="str">
        <x:v>b(new) = b(old) + η*t if ŷ != t</x:v>
      </x:c>
      <x:c r="C13" t="str">
        <x:v>Update only on mistakes</x:v>
      </x:c>
    </x:row>
    <x:row r="14">
      <x:c r="A14" t="str">
        <x:v>Mean squared error</x:v>
      </x:c>
      <x:c r="B14" t="str">
        <x:v>MSE = sum(e²)/N</x:v>
      </x:c>
      <x:c r="C14" t="str">
        <x:v>Average pre-update errors for each epoch</x:v>
      </x:c>
    </x:row>
  </x:sheetData>
  <x:mergeCells>
    <x:mergeCell ref="A1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96" hidden="0" customWidth="1"/>
  </x:cols>
  <x:sheetData>
    <x:row r="1" ht="26" customHeight="1">
      <x:c r="A1" s="3" t="str">
        <x:v>TECHNICAL GLOSSARY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4" ht="27" customHeight="1">
      <x:c r="A4" s="7" t="str">
        <x:v>No</x:v>
      </x:c>
      <x:c r="B4" s="7" t="str">
        <x:v>Term</x:v>
      </x:c>
      <x:c r="C4" s="7" t="str">
        <x:v>English explanation</x:v>
      </x:c>
    </x:row>
    <x:row r="5">
      <x:c r="A5" t="n">
        <x:v>1</x:v>
      </x:c>
      <x:c r="B5" t="str">
        <x:v>ADALINE</x:v>
      </x:c>
      <x:c r="C5" t="str">
        <x:v>Adaptive Linear Neuron; trains on a continuous linear output.</x:v>
      </x:c>
    </x:row>
    <x:row r="6">
      <x:c r="A6" t="n">
        <x:v>2</x:v>
      </x:c>
      <x:c r="B6" t="str">
        <x:v>Perceptron</x:v>
      </x:c>
      <x:c r="C6" t="str">
        <x:v>Linear binary classifier trained using thresholded predictions.</x:v>
      </x:c>
    </x:row>
    <x:row r="7">
      <x:c r="A7" t="n">
        <x:v>3</x:v>
      </x:c>
      <x:c r="B7" t="str">
        <x:v>Supervised learning</x:v>
      </x:c>
      <x:c r="C7" t="str">
        <x:v>Learning from input examples and their known targets.</x:v>
      </x:c>
    </x:row>
    <x:row r="8">
      <x:c r="A8" t="n">
        <x:v>4</x:v>
      </x:c>
      <x:c r="B8" t="str">
        <x:v>Input x1, x2</x:v>
      </x:c>
      <x:c r="C8" t="str">
        <x:v>Features provided to the neuron.</x:v>
      </x:c>
    </x:row>
    <x:row r="9">
      <x:c r="A9" t="n">
        <x:v>5</x:v>
      </x:c>
      <x:c r="B9" t="str">
        <x:v>Weight w1, w2</x:v>
      </x:c>
      <x:c r="C9" t="str">
        <x:v>Trainable coefficients multiplying the inputs.</x:v>
      </x:c>
    </x:row>
    <x:row r="10">
      <x:c r="A10" t="n">
        <x:v>6</x:v>
      </x:c>
      <x:c r="B10" t="str">
        <x:v>Bias b</x:v>
      </x:c>
      <x:c r="C10" t="str">
        <x:v>Trainable intercept added to the weighted input sum.</x:v>
      </x:c>
    </x:row>
    <x:row r="11">
      <x:c r="A11" t="n">
        <x:v>7</x:v>
      </x:c>
      <x:c r="B11" t="str">
        <x:v>Learning rate η</x:v>
      </x:c>
      <x:c r="C11" t="str">
        <x:v>Scale factor that controls weight-update magnitude.</x:v>
      </x:c>
    </x:row>
    <x:row r="12">
      <x:c r="A12" t="n">
        <x:v>8</x:v>
      </x:c>
      <x:c r="B12" t="str">
        <x:v>Target t</x:v>
      </x:c>
      <x:c r="C12" t="str">
        <x:v>Desired class label, encoded as -1 or +1.</x:v>
      </x:c>
    </x:row>
    <x:row r="13">
      <x:c r="A13" t="n">
        <x:v>9</x:v>
      </x:c>
      <x:c r="B13" t="str">
        <x:v>Net input</x:v>
      </x:c>
      <x:c r="C13" t="str">
        <x:v>Weighted sum w1*x1 + w2*x2 + b.</x:v>
      </x:c>
    </x:row>
    <x:row r="14">
      <x:c r="A14" t="n">
        <x:v>10</x:v>
      </x:c>
      <x:c r="B14" t="str">
        <x:v>Linear output y</x:v>
      </x:c>
      <x:c r="C14" t="str">
        <x:v>Continuous net input used for ADALINE training.</x:v>
      </x:c>
    </x:row>
    <x:row r="15">
      <x:c r="A15" t="n">
        <x:v>11</x:v>
      </x:c>
      <x:c r="B15" t="str">
        <x:v>Prediction ŷ</x:v>
      </x:c>
      <x:c r="C15" t="str">
        <x:v>Thresholded class label: +1 when net&gt;=0, otherwise -1.</x:v>
      </x:c>
    </x:row>
    <x:row r="16">
      <x:c r="A16" t="n">
        <x:v>12</x:v>
      </x:c>
      <x:c r="B16" t="str">
        <x:v>Error e</x:v>
      </x:c>
      <x:c r="C16" t="str">
        <x:v>ADALINE residual t-y.</x:v>
      </x:c>
    </x:row>
    <x:row r="17">
      <x:c r="A17" t="n">
        <x:v>13</x:v>
      </x:c>
      <x:c r="B17" t="str">
        <x:v>Squared error</x:v>
      </x:c>
      <x:c r="C17" t="str">
        <x:v>Residual squared, (t-y)^2.</x:v>
      </x:c>
    </x:row>
    <x:row r="18">
      <x:c r="A18" t="n">
        <x:v>14</x:v>
      </x:c>
      <x:c r="B18" t="str">
        <x:v>MSE</x:v>
      </x:c>
      <x:c r="C18" t="str">
        <x:v>Mean squared error across observations.</x:v>
      </x:c>
    </x:row>
    <x:row r="19">
      <x:c r="A19" t="n">
        <x:v>15</x:v>
      </x:c>
      <x:c r="B19" t="str">
        <x:v>LMS / Widrow–Hoff</x:v>
      </x:c>
      <x:c r="C19" t="str">
        <x:v>Delta rule minimizing squared linear-output errors.</x:v>
      </x:c>
    </x:row>
    <x:row r="20">
      <x:c r="A20" t="n">
        <x:v>16</x:v>
      </x:c>
      <x:c r="B20" t="str">
        <x:v>Perceptron update</x:v>
      </x:c>
      <x:c r="C20" t="str">
        <x:v>Adjusts parameters when a prediction is wrong.</x:v>
      </x:c>
    </x:row>
    <x:row r="21">
      <x:c r="A21" t="n">
        <x:v>17</x:v>
      </x:c>
      <x:c r="B21" t="str">
        <x:v>Epoch</x:v>
      </x:c>
      <x:c r="C21" t="str">
        <x:v>One complete pass through the training examples.</x:v>
      </x:c>
    </x:row>
    <x:row r="22">
      <x:c r="A22" t="n">
        <x:v>18</x:v>
      </x:c>
      <x:c r="B22" t="str">
        <x:v>Online learning</x:v>
      </x:c>
      <x:c r="C22" t="str">
        <x:v>Parameters are updated after individual examples.</x:v>
      </x:c>
    </x:row>
    <x:row r="23">
      <x:c r="A23" t="n">
        <x:v>19</x:v>
      </x:c>
      <x:c r="B23" t="str">
        <x:v>Convergence</x:v>
      </x:c>
      <x:c r="C23" t="str">
        <x:v>Approaching stable weights, error or classification behavior.</x:v>
      </x:c>
    </x:row>
    <x:row r="24">
      <x:c r="A24" t="n">
        <x:v>20</x:v>
      </x:c>
      <x:c r="B24" t="str">
        <x:v>Bipolar AND</x:v>
      </x:c>
      <x:c r="C24" t="str">
        <x:v>Boolean AND encoded with -1 and +1 labels.</x:v>
      </x:c>
    </x:row>
    <x:row r="25">
      <x:c r="A25" t="n">
        <x:v>21</x:v>
      </x:c>
      <x:c r="B25" t="str">
        <x:v>Linear separability</x:v>
      </x:c>
      <x:c r="C25" t="str">
        <x:v>Classes can be separated by one linear decision boundary.</x:v>
      </x:c>
    </x:row>
    <x:row r="26">
      <x:c r="A26" t="n">
        <x:v>22</x:v>
      </x:c>
      <x:c r="B26" t="str">
        <x:v>Decision boundary</x:v>
      </x:c>
      <x:c r="C26" t="str">
        <x:v>Set of inputs where w1*x1+w2*x2+b=0.</x:v>
      </x:c>
    </x:row>
    <x:row r="27">
      <x:c r="A27" t="n">
        <x:v>23</x:v>
      </x:c>
      <x:c r="B27" t="str">
        <x:v>Gradient descent</x:v>
      </x:c>
      <x:c r="C27" t="str">
        <x:v>Parameter updates in the negative gradient direction.</x:v>
      </x:c>
    </x:row>
    <x:row r="28">
      <x:c r="A28" t="n">
        <x:v>24</x:v>
      </x:c>
      <x:c r="B28" t="str">
        <x:v>Misclassification</x:v>
      </x:c>
      <x:c r="C28" t="str">
        <x:v>A prediction whose class label differs from the target.</x:v>
      </x:c>
    </x:row>
  </x:sheetData>
  <x:mergeCells>
    <x:mergeCell ref="A1:D2"/>
  </x:mergeCells>
  <x:pageMargins left="0.7" right="0.7" top="0.75" bottom="0.75" header="0.3" footer="0.3"/>
</x:worksheet>
</file>